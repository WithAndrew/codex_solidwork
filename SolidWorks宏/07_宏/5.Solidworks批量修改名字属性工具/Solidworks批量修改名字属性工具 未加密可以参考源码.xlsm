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文件存放\T35-solidworks宏solidworks装配体材料明细表输出宏BOM输出sw宏程序\宏480个宏，部分有重复\SolidWorks宏程序整后2021.7.28\5.Solidworks批量修改名字属性工具\"/>
    </mc:Choice>
  </mc:AlternateContent>
  <xr:revisionPtr revIDLastSave="0" documentId="13_ncr:1_{EAC26656-DE4A-4C7D-BA95-50B050B2272D}" xr6:coauthVersionLast="47" xr6:coauthVersionMax="47" xr10:uidLastSave="{00000000-0000-0000-0000-000000000000}"/>
  <bookViews>
    <workbookView xWindow="-120" yWindow="-120" windowWidth="29040" windowHeight="1644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Sheet1!$A$2:$O$114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7" l="1"/>
  <c r="J22" i="7"/>
  <c r="I22" i="7"/>
  <c r="H22" i="7"/>
  <c r="G22" i="7"/>
  <c r="F22" i="7"/>
  <c r="E22" i="7"/>
  <c r="D22" i="7"/>
  <c r="I2" i="7"/>
</calcChain>
</file>

<file path=xl/sharedStrings.xml><?xml version="1.0" encoding="utf-8"?>
<sst xmlns="http://schemas.openxmlformats.org/spreadsheetml/2006/main" count="96" uniqueCount="59">
  <si>
    <t>文件路径</t>
    <phoneticPr fontId="4" type="noConversion"/>
  </si>
  <si>
    <t>类型</t>
    <phoneticPr fontId="3" type="noConversion"/>
  </si>
  <si>
    <t>工程图</t>
    <phoneticPr fontId="3" type="noConversion"/>
  </si>
  <si>
    <t xml:space="preserve"> 权 限 设 置</t>
    <phoneticPr fontId="14" type="noConversion"/>
  </si>
  <si>
    <t>今天是：</t>
    <phoneticPr fontId="14" type="noConversion"/>
  </si>
  <si>
    <t>操作员</t>
    <phoneticPr fontId="14" type="noConversion"/>
  </si>
  <si>
    <t>操作员     密码</t>
    <phoneticPr fontId="14" type="noConversion"/>
  </si>
  <si>
    <t>操  作  权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</si>
  <si>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</si>
  <si>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</si>
  <si>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</si>
  <si>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</si>
  <si>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管理员</t>
    <phoneticPr fontId="14" type="noConversion"/>
  </si>
  <si>
    <t>说明:</t>
    <phoneticPr fontId="14" type="noConversion"/>
  </si>
  <si>
    <t>1. 凡在单元格内填入“1”,即对该项有操作权。</t>
    <phoneticPr fontId="14" type="noConversion"/>
  </si>
  <si>
    <t>2. 本页内可以对操作员、操作密码和操作权限作修改或删除；但必须留一位有"系统</t>
    <phoneticPr fontId="14" type="noConversion"/>
  </si>
  <si>
    <t xml:space="preserve">   设置"权的操作员，否则将无法增加新的操作员，或进入本页修改有关内容！</t>
    <phoneticPr fontId="14" type="noConversion"/>
  </si>
  <si>
    <t>操    作    权  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</si>
  <si>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</si>
  <si>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</si>
  <si>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</si>
  <si>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</si>
  <si>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操作员     密码</t>
    <phoneticPr fontId="14" type="noConversion"/>
  </si>
  <si>
    <t>D:\Invent_File\Invent_图纸模版\</t>
    <phoneticPr fontId="3" type="noConversion"/>
  </si>
  <si>
    <t>逆风</t>
    <phoneticPr fontId="14" type="noConversion"/>
  </si>
  <si>
    <t>8802</t>
    <phoneticPr fontId="8" type="noConversion"/>
  </si>
  <si>
    <t>原文件名称</t>
    <phoneticPr fontId="4" type="noConversion"/>
  </si>
  <si>
    <t>文件名称</t>
    <phoneticPr fontId="3" type="noConversion"/>
  </si>
  <si>
    <t>外形_L</t>
  </si>
  <si>
    <t>外形_W</t>
  </si>
  <si>
    <t>外形_H</t>
  </si>
  <si>
    <t>编码</t>
    <phoneticPr fontId="3" type="noConversion"/>
  </si>
  <si>
    <t>图号</t>
    <phoneticPr fontId="3" type="noConversion"/>
  </si>
  <si>
    <t>属性</t>
    <phoneticPr fontId="3" type="noConversion"/>
  </si>
  <si>
    <t>材料</t>
    <phoneticPr fontId="3" type="noConversion"/>
  </si>
  <si>
    <t>表面处理</t>
    <phoneticPr fontId="3" type="noConversion"/>
  </si>
  <si>
    <t>单位</t>
    <phoneticPr fontId="3" type="noConversion"/>
  </si>
  <si>
    <t>名称</t>
    <phoneticPr fontId="3" type="noConversion"/>
  </si>
  <si>
    <t>SLDPRT</t>
  </si>
  <si>
    <t>SLDASM</t>
  </si>
  <si>
    <t>逆风</t>
    <phoneticPr fontId="8" type="noConversion"/>
  </si>
  <si>
    <t>数量</t>
    <phoneticPr fontId="3" type="noConversion"/>
  </si>
  <si>
    <t>F:\1万多套非标设备3D图纸\10705套非标设备大合集\（二）：有图片jpg目录（方便预览）\1--02：包装机图纸\115套SW格式图纸\SW可编辑参数（46套）\A02-Z-HR1-10ACD自动包装机\3D\</t>
  </si>
  <si>
    <t>自动包装机</t>
  </si>
  <si>
    <t>F:\1万多套非标设备3D图纸\10705套非标设备大合集\（二）：有图片jpg目录（方便预览）\1--02：包装机图纸\115套SW格式图纸\SW可编辑参数（46套）\A02-Z-HR1-10ACD自动包装机\3D\步进卷料\</t>
  </si>
  <si>
    <t>F:\1万多套非标设备3D图纸\10705套非标设备大合集\（二）：有图片jpg目录（方便预览）\1--02：包装机图纸\115套SW格式图纸\SW可编辑参数（46套）\A02-Z-HR1-10ACD自动包装机\3D\步进卷料\</t>
    <phoneticPr fontId="3" type="noConversion"/>
  </si>
  <si>
    <t>步进电机BSHB31112</t>
  </si>
  <si>
    <t>步进卷料002</t>
  </si>
  <si>
    <t>步进卷料007</t>
  </si>
  <si>
    <t>同步轮MSM-MBR40-2.5-P10</t>
  </si>
  <si>
    <t>步进电机Leisai-86HS35</t>
  </si>
  <si>
    <t>步进卷料001</t>
  </si>
  <si>
    <t>步进卷料003</t>
  </si>
  <si>
    <t>步进卷料004</t>
  </si>
  <si>
    <t>步进卷料005</t>
  </si>
  <si>
    <t>步进卷料008</t>
  </si>
  <si>
    <t>步进卷料009</t>
  </si>
  <si>
    <t>步进卷料010</t>
  </si>
  <si>
    <t>步进卷料011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</si>
</sst>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30"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u/>
      <sz val="10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7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</cellStyleXfs>
  <cellXfs count="64">
    <xf numFmtId="0" fontId="0" fillId="0" borderId="0" xfId="0">
      <alignment vertical="center"/>
    </xf>
    <xf numFmtId="49" fontId="6" fillId="0" borderId="0" xfId="1" applyNumberFormat="1" applyFont="1" applyAlignment="1"/>
    <xf numFmtId="49" fontId="7" fillId="0" borderId="0" xfId="1" applyNumberFormat="1" applyFont="1" applyAlignment="1">
      <alignment horizontal="center" vertical="center"/>
    </xf>
    <xf numFmtId="49" fontId="6" fillId="0" borderId="0" xfId="1" applyNumberFormat="1" applyFont="1">
      <alignment vertical="center"/>
    </xf>
    <xf numFmtId="176" fontId="6" fillId="0" borderId="0" xfId="1" applyNumberFormat="1" applyFont="1" applyAlignment="1"/>
    <xf numFmtId="49" fontId="9" fillId="2" borderId="0" xfId="1" applyNumberFormat="1" applyFont="1" applyFill="1" applyAlignment="1">
      <alignment horizontal="center" vertical="center"/>
    </xf>
    <xf numFmtId="49" fontId="10" fillId="2" borderId="0" xfId="1" applyNumberFormat="1" applyFont="1" applyFill="1" applyAlignment="1">
      <alignment horizontal="center" vertical="center"/>
    </xf>
    <xf numFmtId="177" fontId="11" fillId="0" borderId="0" xfId="0" applyNumberFormat="1" applyFont="1" applyAlignment="1">
      <alignment horizontal="center" vertical="center" shrinkToFi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2" applyFont="1" applyAlignment="1">
      <alignment horizontal="center" vertical="center"/>
    </xf>
    <xf numFmtId="0" fontId="15" fillId="0" borderId="0" xfId="2" applyFont="1" applyAlignment="1">
      <alignment horizontal="right"/>
    </xf>
    <xf numFmtId="0" fontId="16" fillId="0" borderId="8" xfId="2" applyFont="1" applyBorder="1" applyAlignment="1">
      <alignment horizontal="center" vertical="center" shrinkToFit="1"/>
    </xf>
    <xf numFmtId="0" fontId="16" fillId="0" borderId="8" xfId="2" applyFont="1" applyBorder="1" applyAlignment="1">
      <alignment horizontal="center" vertical="center" wrapText="1" shrinkToFit="1"/>
    </xf>
    <xf numFmtId="0" fontId="16" fillId="0" borderId="9" xfId="2" applyFont="1" applyBorder="1" applyAlignment="1">
      <alignment horizontal="center" vertical="center" shrinkToFit="1"/>
    </xf>
    <xf numFmtId="0" fontId="17" fillId="0" borderId="6" xfId="2" applyFont="1" applyBorder="1" applyAlignment="1">
      <alignment horizontal="center" vertical="center"/>
    </xf>
    <xf numFmtId="0" fontId="17" fillId="0" borderId="8" xfId="2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 vertical="center"/>
      <protection locked="0"/>
    </xf>
    <xf numFmtId="0" fontId="19" fillId="0" borderId="6" xfId="2" applyFont="1" applyBorder="1" applyAlignment="1" applyProtection="1">
      <alignment horizontal="center" vertical="center"/>
      <protection locked="0"/>
    </xf>
    <xf numFmtId="0" fontId="20" fillId="0" borderId="8" xfId="2" applyFont="1" applyBorder="1" applyAlignment="1" applyProtection="1">
      <alignment horizontal="center" vertical="center"/>
      <protection locked="0"/>
    </xf>
    <xf numFmtId="0" fontId="20" fillId="0" borderId="8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16" fillId="0" borderId="8" xfId="2" applyFont="1" applyBorder="1" applyAlignment="1" applyProtection="1">
      <alignment horizontal="center" vertical="center" shrinkToFit="1"/>
      <protection locked="0"/>
    </xf>
    <xf numFmtId="0" fontId="19" fillId="0" borderId="10" xfId="2" applyFont="1" applyBorder="1" applyAlignment="1" applyProtection="1">
      <alignment horizontal="center" vertical="center"/>
      <protection locked="0"/>
    </xf>
    <xf numFmtId="0" fontId="20" fillId="0" borderId="11" xfId="2" applyFont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19" fillId="0" borderId="11" xfId="0" applyFont="1" applyBorder="1" applyAlignment="1">
      <alignment horizontal="center" vertical="center"/>
    </xf>
    <xf numFmtId="0" fontId="21" fillId="0" borderId="0" xfId="0" applyFont="1" applyProtection="1">
      <alignment vertical="center"/>
      <protection locked="0"/>
    </xf>
    <xf numFmtId="49" fontId="25" fillId="0" borderId="0" xfId="1" applyNumberFormat="1" applyFont="1">
      <alignment vertical="center"/>
    </xf>
    <xf numFmtId="49" fontId="18" fillId="0" borderId="8" xfId="2" applyNumberFormat="1" applyFont="1" applyBorder="1" applyAlignment="1" applyProtection="1">
      <alignment horizontal="center" vertical="center"/>
      <protection locked="0"/>
    </xf>
    <xf numFmtId="49" fontId="19" fillId="0" borderId="8" xfId="2" applyNumberFormat="1" applyFont="1" applyBorder="1" applyAlignment="1" applyProtection="1">
      <alignment horizontal="center" vertical="center"/>
      <protection locked="0"/>
    </xf>
    <xf numFmtId="49" fontId="19" fillId="0" borderId="11" xfId="2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49" fontId="25" fillId="5" borderId="0" xfId="1" applyNumberFormat="1" applyFont="1" applyFill="1">
      <alignment vertical="center"/>
    </xf>
    <xf numFmtId="0" fontId="2" fillId="4" borderId="0" xfId="4" applyFill="1">
      <alignment vertical="center"/>
    </xf>
    <xf numFmtId="0" fontId="2" fillId="4" borderId="0" xfId="4" applyFill="1" applyAlignment="1">
      <alignment horizontal="left" vertical="center"/>
    </xf>
    <xf numFmtId="0" fontId="2" fillId="0" borderId="0" xfId="4" applyAlignment="1">
      <alignment horizontal="left" vertical="center"/>
    </xf>
    <xf numFmtId="49" fontId="27" fillId="0" borderId="0" xfId="3" applyNumberFormat="1" applyFill="1">
      <alignment vertical="center"/>
    </xf>
    <xf numFmtId="49" fontId="25" fillId="6" borderId="0" xfId="1" applyNumberFormat="1" applyFont="1" applyFill="1">
      <alignment vertical="center"/>
    </xf>
    <xf numFmtId="0" fontId="23" fillId="0" borderId="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15" fillId="0" borderId="1" xfId="2" applyNumberFormat="1" applyFont="1" applyBorder="1" applyAlignment="1">
      <alignment horizontal="left"/>
    </xf>
    <xf numFmtId="0" fontId="15" fillId="0" borderId="1" xfId="2" applyFont="1" applyBorder="1" applyAlignment="1">
      <alignment horizontal="left"/>
    </xf>
    <xf numFmtId="0" fontId="16" fillId="0" borderId="2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49" fontId="25" fillId="0" borderId="0" xfId="1" applyNumberFormat="1" applyFont="1" applyFill="1">
      <alignment vertical="center"/>
    </xf>
  </cellXfs>
  <cellStyles count="10">
    <cellStyle name="常规" xfId="0" builtinId="0"/>
    <cellStyle name="常规 2" xfId="5" xr:uid="{00000000-0005-0000-0000-000001000000}"/>
    <cellStyle name="常规 3" xfId="4" xr:uid="{00000000-0005-0000-0000-000002000000}"/>
    <cellStyle name="常规 3 2" xfId="9" xr:uid="{00000000-0005-0000-0000-000003000000}"/>
    <cellStyle name="常规 4" xfId="6" xr:uid="{00000000-0005-0000-0000-000004000000}"/>
    <cellStyle name="常规 5" xfId="8" xr:uid="{00000000-0005-0000-0000-000005000000}"/>
    <cellStyle name="常规 6" xfId="7" xr:uid="{00000000-0005-0000-0000-000006000000}"/>
    <cellStyle name="常规_复件 财务处理系统(设计稿)" xfId="2" xr:uid="{00000000-0005-0000-0000-000007000000}"/>
    <cellStyle name="超链接" xfId="3" builtinId="8"/>
    <cellStyle name="一般 2" xfId="1" xr:uid="{00000000-0005-0000-0000-000009000000}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</xdr:row>
          <xdr:rowOff>95250</xdr:rowOff>
        </xdr:from>
        <xdr:to>
          <xdr:col>14</xdr:col>
          <xdr:colOff>133350</xdr:colOff>
          <xdr:row>2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30005;&#26426;Leisai-86HS35.SLDPRT" TargetMode="External"/><Relationship Id="rId13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5.SLDPRT" TargetMode="External"/><Relationship Id="rId18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11.SLDPRT" TargetMode="External"/><Relationship Id="rId3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30005;&#26426;BSHB31112.SLDPRT" TargetMode="External"/><Relationship Id="rId7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30005;&#26426;BSHB31112.SLDPRT" TargetMode="External"/><Relationship Id="rId12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4.SLDPRT" TargetMode="External"/><Relationship Id="rId17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10.SLDPRT" TargetMode="External"/><Relationship Id="rId2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33258;&#21160;&#21253;&#35013;&#26426;.SLDASM" TargetMode="External"/><Relationship Id="rId16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9.SLDPRT" TargetMode="External"/><Relationship Id="rId1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33258;&#21160;&#21253;&#35013;&#26426;.SLDASM" TargetMode="External"/><Relationship Id="rId6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1516;&#27493;&#36718;MSM-MBR40-2.5-P10.SLDPRT" TargetMode="External"/><Relationship Id="rId11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3.SLDPRT" TargetMode="External"/><Relationship Id="rId5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7.SLDPRT" TargetMode="External"/><Relationship Id="rId15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8.SLDPRT" TargetMode="External"/><Relationship Id="rId10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2.SLDPRT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2.SLDPRT" TargetMode="External"/><Relationship Id="rId9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1.SLDPRT" TargetMode="External"/><Relationship Id="rId14" Type="http://schemas.openxmlformats.org/officeDocument/2006/relationships/hyperlink" Target="file:///F:\1&#19975;&#22810;&#22871;&#38750;&#26631;&#35774;&#22791;3D&#22270;&#32440;\10705&#22871;&#38750;&#26631;&#35774;&#22791;&#22823;&#21512;&#38598;\&#65288;&#20108;&#65289;&#65306;&#26377;&#22270;&#29255;jpg&#30446;&#24405;&#65288;&#26041;&#20415;&#39044;&#35272;&#65289;\1--02&#65306;&#21253;&#35013;&#26426;&#22270;&#32440;\115&#22871;SW&#26684;&#24335;&#22270;&#32440;\SW&#21487;&#32534;&#36753;&#21442;&#25968;&#65288;46&#22871;&#65289;\A02-Z-HR1-10ACD&#33258;&#21160;&#21253;&#35013;&#26426;\3D\&#27493;&#36827;&#21367;&#26009;\&#27493;&#36827;&#21367;&#26009;007.SLDPR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1000"/>
  <sheetViews>
    <sheetView tabSelected="1" zoomScale="118" zoomScaleNormal="118" workbookViewId="0">
      <pane ySplit="2" topLeftCell="A194" activePane="bottomLeft" state="frozen"/>
      <selection pane="bottomLeft" activeCell="F205" sqref="F205"/>
    </sheetView>
  </sheetViews>
  <sheetFormatPr defaultColWidth="9.140625" defaultRowHeight="15" customHeight="1"/>
  <cols>
    <col min="1" max="1" width="14.7109375" style="3" customWidth="1"/>
    <col min="2" max="2" width="7.5703125" style="3" customWidth="1"/>
    <col min="3" max="3" width="35.85546875" style="3" customWidth="1"/>
    <col min="4" max="4" width="7.42578125" style="3" customWidth="1"/>
    <col min="5" max="5" width="39.7109375" style="3" customWidth="1"/>
    <col min="6" max="6" width="12.5703125" style="3" customWidth="1"/>
    <col min="7" max="7" width="16.42578125" style="3" customWidth="1"/>
    <col min="8" max="8" width="15.42578125" style="3" customWidth="1"/>
    <col min="9" max="9" width="12.28515625" style="3" customWidth="1"/>
    <col min="10" max="10" width="8.28515625" style="3" customWidth="1"/>
    <col min="11" max="11" width="9.85546875" style="3" customWidth="1"/>
    <col min="12" max="12" width="3.85546875" style="3" customWidth="1"/>
    <col min="13" max="15" width="9.140625" style="3"/>
    <col min="16" max="16" width="15.28515625" style="3" customWidth="1"/>
    <col min="17" max="17" width="3.42578125" style="3" customWidth="1"/>
    <col min="18" max="18" width="26.5703125" style="3" customWidth="1"/>
    <col min="19" max="19" width="31.28515625" style="3" customWidth="1"/>
    <col min="20" max="23" width="9.140625" style="3"/>
    <col min="24" max="24" width="28.42578125" style="3" customWidth="1"/>
    <col min="25" max="16384" width="9.140625" style="3"/>
  </cols>
  <sheetData>
    <row r="1" spans="1:27" s="1" customFormat="1" ht="15.75" hidden="1" customHeight="1">
      <c r="A1" s="4"/>
      <c r="B1" s="4" t="s">
        <v>45</v>
      </c>
      <c r="C1" s="4" t="s">
        <v>23</v>
      </c>
      <c r="D1" s="4">
        <v>1</v>
      </c>
      <c r="E1" s="4"/>
      <c r="F1" s="4">
        <v>1</v>
      </c>
      <c r="G1" s="4">
        <v>1</v>
      </c>
      <c r="H1" s="4">
        <v>1</v>
      </c>
      <c r="I1" s="4"/>
    </row>
    <row r="2" spans="1:27" s="2" customFormat="1" ht="15" customHeight="1">
      <c r="A2" s="5" t="s">
        <v>2</v>
      </c>
      <c r="B2" s="6" t="s">
        <v>0</v>
      </c>
      <c r="C2" s="6" t="s">
        <v>26</v>
      </c>
      <c r="D2" s="6" t="s">
        <v>1</v>
      </c>
      <c r="E2" s="6" t="s">
        <v>27</v>
      </c>
      <c r="F2" s="40" t="s">
        <v>31</v>
      </c>
      <c r="G2" s="40" t="s">
        <v>37</v>
      </c>
      <c r="H2" s="40" t="s">
        <v>32</v>
      </c>
      <c r="I2" s="40" t="s">
        <v>33</v>
      </c>
      <c r="J2" s="40" t="s">
        <v>34</v>
      </c>
      <c r="K2" s="40" t="s">
        <v>35</v>
      </c>
      <c r="L2" s="40" t="s">
        <v>36</v>
      </c>
      <c r="M2" s="39" t="s">
        <v>28</v>
      </c>
      <c r="N2" s="39" t="s">
        <v>29</v>
      </c>
      <c r="O2" s="39" t="s">
        <v>30</v>
      </c>
      <c r="P2" s="39" t="s">
        <v>41</v>
      </c>
      <c r="Q2" s="39"/>
      <c r="R2" s="39"/>
      <c r="S2" s="39"/>
    </row>
    <row r="3" spans="1:27" ht="15" hidden="1" customHeight="1">
      <c r="A3" s="41"/>
      <c r="B3" s="35" t="s">
        <v>42</v>
      </c>
      <c r="C3" s="45" t="s">
        <v>43</v>
      </c>
      <c r="D3" s="35" t="s">
        <v>39</v>
      </c>
      <c r="E3" s="4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</row>
    <row r="4" spans="1:27" ht="15" hidden="1" customHeight="1">
      <c r="A4" s="41"/>
      <c r="B4" s="35" t="s">
        <v>42</v>
      </c>
      <c r="C4" s="45" t="s">
        <v>43</v>
      </c>
      <c r="D4" s="35" t="s">
        <v>39</v>
      </c>
      <c r="E4" s="42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</row>
    <row r="5" spans="1:27" ht="15" hidden="1" customHeight="1">
      <c r="A5" s="41"/>
      <c r="B5" s="46" t="s">
        <v>44</v>
      </c>
      <c r="C5" s="45" t="s">
        <v>46</v>
      </c>
      <c r="D5" s="35" t="s">
        <v>38</v>
      </c>
      <c r="E5" s="42"/>
      <c r="F5" s="35"/>
      <c r="G5" s="35"/>
      <c r="H5" s="35"/>
      <c r="I5" s="35"/>
      <c r="J5" s="35"/>
      <c r="K5" s="35"/>
      <c r="L5" s="35"/>
      <c r="M5" s="35">
        <v>164.5</v>
      </c>
      <c r="N5" s="35">
        <v>130</v>
      </c>
      <c r="O5" s="35">
        <v>110</v>
      </c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</row>
    <row r="6" spans="1:27" ht="15" hidden="1" customHeight="1">
      <c r="A6" s="41"/>
      <c r="B6" s="46" t="s">
        <v>44</v>
      </c>
      <c r="C6" s="45" t="s">
        <v>47</v>
      </c>
      <c r="D6" s="35" t="s">
        <v>38</v>
      </c>
      <c r="E6" s="42"/>
      <c r="F6" s="35"/>
      <c r="G6" s="35"/>
      <c r="H6" s="35"/>
      <c r="I6" s="35"/>
      <c r="J6" s="35"/>
      <c r="K6" s="35"/>
      <c r="L6" s="35"/>
      <c r="M6" s="35">
        <v>280</v>
      </c>
      <c r="N6" s="35">
        <v>25</v>
      </c>
      <c r="O6" s="35">
        <v>20</v>
      </c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</row>
    <row r="7" spans="1:27" ht="15" hidden="1" customHeight="1">
      <c r="A7" s="41"/>
      <c r="B7" s="63" t="s">
        <v>44</v>
      </c>
      <c r="C7" s="45" t="s">
        <v>48</v>
      </c>
      <c r="D7" s="35" t="s">
        <v>38</v>
      </c>
      <c r="E7" s="42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</row>
    <row r="8" spans="1:27" ht="15" hidden="1" customHeight="1">
      <c r="A8" s="41"/>
      <c r="B8" s="63" t="s">
        <v>44</v>
      </c>
      <c r="C8" s="45" t="s">
        <v>49</v>
      </c>
      <c r="D8" s="35" t="s">
        <v>38</v>
      </c>
      <c r="E8" s="42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</row>
    <row r="9" spans="1:27" ht="15" hidden="1" customHeight="1">
      <c r="A9" s="41"/>
      <c r="B9" s="63" t="s">
        <v>44</v>
      </c>
      <c r="C9" s="45" t="s">
        <v>46</v>
      </c>
      <c r="D9" s="35" t="s">
        <v>38</v>
      </c>
      <c r="E9" s="42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</row>
    <row r="10" spans="1:27" ht="15" hidden="1" customHeight="1">
      <c r="A10" s="41"/>
      <c r="B10" s="63" t="s">
        <v>44</v>
      </c>
      <c r="C10" s="45" t="s">
        <v>50</v>
      </c>
      <c r="D10" s="35" t="s">
        <v>38</v>
      </c>
      <c r="E10" s="42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</row>
    <row r="11" spans="1:27" ht="15" hidden="1" customHeight="1">
      <c r="A11" s="41"/>
      <c r="B11" s="63" t="s">
        <v>44</v>
      </c>
      <c r="C11" s="45" t="s">
        <v>51</v>
      </c>
      <c r="D11" s="35" t="s">
        <v>38</v>
      </c>
      <c r="E11" s="42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</row>
    <row r="12" spans="1:27" ht="15" hidden="1" customHeight="1">
      <c r="A12" s="41"/>
      <c r="B12" s="63" t="s">
        <v>44</v>
      </c>
      <c r="C12" s="45" t="s">
        <v>47</v>
      </c>
      <c r="D12" s="35" t="s">
        <v>38</v>
      </c>
      <c r="E12" s="42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</row>
    <row r="13" spans="1:27" ht="15" hidden="1" customHeight="1">
      <c r="A13" s="41"/>
      <c r="B13" s="63" t="s">
        <v>44</v>
      </c>
      <c r="C13" s="45" t="s">
        <v>52</v>
      </c>
      <c r="D13" s="35" t="s">
        <v>38</v>
      </c>
      <c r="E13" s="42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</row>
    <row r="14" spans="1:27" ht="15" hidden="1" customHeight="1">
      <c r="A14" s="41"/>
      <c r="B14" s="63" t="s">
        <v>44</v>
      </c>
      <c r="C14" s="45" t="s">
        <v>53</v>
      </c>
      <c r="D14" s="35" t="s">
        <v>38</v>
      </c>
      <c r="E14" s="4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</row>
    <row r="15" spans="1:27" ht="15" hidden="1" customHeight="1">
      <c r="A15" s="41"/>
      <c r="B15" s="63" t="s">
        <v>44</v>
      </c>
      <c r="C15" s="45" t="s">
        <v>54</v>
      </c>
      <c r="D15" s="35" t="s">
        <v>38</v>
      </c>
      <c r="E15" s="42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</row>
    <row r="16" spans="1:27" ht="15" hidden="1" customHeight="1">
      <c r="A16" s="41"/>
      <c r="B16" s="63" t="s">
        <v>44</v>
      </c>
      <c r="C16" s="45" t="s">
        <v>48</v>
      </c>
      <c r="D16" s="35" t="s">
        <v>38</v>
      </c>
      <c r="E16" s="42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</row>
    <row r="17" spans="1:27" ht="15" hidden="1" customHeight="1">
      <c r="A17" s="41"/>
      <c r="B17" s="63" t="s">
        <v>44</v>
      </c>
      <c r="C17" s="45" t="s">
        <v>55</v>
      </c>
      <c r="D17" s="35" t="s">
        <v>38</v>
      </c>
      <c r="E17" s="42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</row>
    <row r="18" spans="1:27" ht="15" hidden="1" customHeight="1">
      <c r="A18" s="41"/>
      <c r="B18" s="63" t="s">
        <v>44</v>
      </c>
      <c r="C18" s="45" t="s">
        <v>56</v>
      </c>
      <c r="D18" s="35" t="s">
        <v>38</v>
      </c>
      <c r="E18" s="42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</row>
    <row r="19" spans="1:27" ht="15" hidden="1" customHeight="1">
      <c r="A19" s="41"/>
      <c r="B19" s="63" t="s">
        <v>44</v>
      </c>
      <c r="C19" s="45" t="s">
        <v>57</v>
      </c>
      <c r="D19" s="35" t="s">
        <v>38</v>
      </c>
      <c r="E19" s="42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</row>
    <row r="20" spans="1:27" ht="15" hidden="1" customHeight="1">
      <c r="A20" s="41"/>
      <c r="B20" s="63" t="s">
        <v>44</v>
      </c>
      <c r="C20" s="45" t="s">
        <v>58</v>
      </c>
      <c r="D20" s="35" t="s">
        <v>38</v>
      </c>
      <c r="E20" s="42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</row>
    <row r="21" spans="1:27" ht="15" hidden="1" customHeight="1">
      <c r="A21" s="41"/>
      <c r="B21" s="35"/>
      <c r="C21" s="45"/>
      <c r="D21" s="35"/>
      <c r="E21" s="4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</row>
    <row r="22" spans="1:27" ht="15" hidden="1" customHeight="1">
      <c r="A22" s="41"/>
      <c r="B22" s="35"/>
      <c r="C22" s="45"/>
      <c r="D22" s="35"/>
      <c r="E22" s="42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</row>
    <row r="23" spans="1:27" ht="15" hidden="1" customHeight="1">
      <c r="A23" s="41"/>
      <c r="B23" s="35"/>
      <c r="C23" s="45"/>
      <c r="D23" s="35"/>
      <c r="E23" s="4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</row>
    <row r="24" spans="1:27" ht="15" hidden="1" customHeight="1">
      <c r="A24" s="41"/>
      <c r="B24" s="35"/>
      <c r="C24" s="45"/>
      <c r="D24" s="35"/>
      <c r="E24" s="4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</row>
    <row r="25" spans="1:27" ht="15" hidden="1" customHeight="1">
      <c r="A25" s="41"/>
      <c r="B25" s="35"/>
      <c r="C25" s="45"/>
      <c r="D25" s="35"/>
      <c r="E25" s="42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</row>
    <row r="26" spans="1:27" ht="15" hidden="1" customHeight="1">
      <c r="A26" s="41"/>
      <c r="B26" s="35"/>
      <c r="C26" s="45"/>
      <c r="D26" s="35"/>
      <c r="E26" s="42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</row>
    <row r="27" spans="1:27" ht="15" hidden="1" customHeight="1">
      <c r="A27" s="41"/>
      <c r="B27" s="35"/>
      <c r="C27" s="45"/>
      <c r="D27" s="35"/>
      <c r="E27" s="42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</row>
    <row r="28" spans="1:27" ht="15" hidden="1" customHeight="1">
      <c r="A28" s="41"/>
      <c r="B28" s="35"/>
      <c r="C28" s="45"/>
      <c r="D28" s="35"/>
      <c r="E28" s="42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</row>
    <row r="29" spans="1:27" ht="15" hidden="1" customHeight="1">
      <c r="A29" s="41"/>
      <c r="B29" s="35"/>
      <c r="C29" s="45"/>
      <c r="D29" s="35"/>
      <c r="E29" s="42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</row>
    <row r="30" spans="1:27" ht="15" hidden="1" customHeight="1">
      <c r="A30" s="41"/>
      <c r="B30" s="35"/>
      <c r="C30" s="45"/>
      <c r="D30" s="35"/>
      <c r="E30" s="42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</row>
    <row r="31" spans="1:27" ht="15" hidden="1" customHeight="1">
      <c r="A31" s="41"/>
      <c r="B31" s="35"/>
      <c r="C31" s="45"/>
      <c r="D31" s="35"/>
      <c r="E31" s="42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</row>
    <row r="32" spans="1:27" ht="15" hidden="1" customHeight="1">
      <c r="A32" s="41"/>
      <c r="B32" s="35"/>
      <c r="C32" s="45"/>
      <c r="D32" s="35"/>
      <c r="E32" s="42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</row>
    <row r="33" spans="1:27" ht="15" hidden="1" customHeight="1">
      <c r="A33" s="41"/>
      <c r="B33" s="35"/>
      <c r="C33" s="45"/>
      <c r="D33" s="35"/>
      <c r="E33" s="42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</row>
    <row r="34" spans="1:27" ht="15" hidden="1" customHeight="1">
      <c r="A34" s="41"/>
      <c r="B34" s="35"/>
      <c r="C34" s="45"/>
      <c r="D34" s="35"/>
      <c r="E34" s="42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</row>
    <row r="35" spans="1:27" ht="15" hidden="1" customHeight="1">
      <c r="A35" s="41"/>
      <c r="B35" s="35"/>
      <c r="C35" s="45"/>
      <c r="D35" s="35"/>
      <c r="E35" s="42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</row>
    <row r="36" spans="1:27" ht="15" hidden="1" customHeight="1">
      <c r="A36" s="35"/>
      <c r="B36" s="35"/>
      <c r="C36" s="45"/>
      <c r="D36" s="35"/>
      <c r="E36" s="42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</row>
    <row r="37" spans="1:27" ht="15" hidden="1" customHeight="1">
      <c r="A37" s="41"/>
      <c r="B37" s="35"/>
      <c r="C37" s="45"/>
      <c r="D37" s="35"/>
      <c r="E37" s="42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</row>
    <row r="38" spans="1:27" ht="15" hidden="1" customHeight="1">
      <c r="A38" s="35"/>
      <c r="B38" s="35"/>
      <c r="C38" s="4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</row>
    <row r="39" spans="1:27" ht="15" hidden="1" customHeight="1">
      <c r="A39" s="35"/>
      <c r="B39" s="35"/>
      <c r="C39" s="4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</row>
    <row r="40" spans="1:27" ht="15" hidden="1" customHeight="1">
      <c r="A40" s="35"/>
      <c r="B40" s="35"/>
      <c r="C40" s="4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</row>
    <row r="41" spans="1:27" ht="15" hidden="1" customHeight="1">
      <c r="A41" s="35"/>
      <c r="B41" s="35"/>
      <c r="C41" s="4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</row>
    <row r="42" spans="1:27" ht="15" hidden="1" customHeight="1">
      <c r="A42" s="41"/>
      <c r="B42" s="35"/>
      <c r="C42" s="45"/>
      <c r="D42" s="35"/>
      <c r="E42" s="42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</row>
    <row r="43" spans="1:27" ht="15" hidden="1" customHeight="1">
      <c r="A43" s="41"/>
      <c r="B43" s="35"/>
      <c r="C43" s="45"/>
      <c r="D43" s="35"/>
      <c r="E43" s="42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</row>
    <row r="44" spans="1:27" ht="15" hidden="1" customHeight="1">
      <c r="A44" s="35"/>
      <c r="B44" s="35"/>
      <c r="C44" s="4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</row>
    <row r="45" spans="1:27" ht="15" hidden="1" customHeight="1">
      <c r="A45" s="35"/>
      <c r="B45" s="35"/>
      <c r="C45" s="4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</row>
    <row r="46" spans="1:27" ht="15" hidden="1" customHeight="1">
      <c r="A46" s="35"/>
      <c r="B46" s="35"/>
      <c r="C46" s="45"/>
      <c r="D46" s="35"/>
      <c r="E46" s="43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</row>
    <row r="47" spans="1:27" ht="15" hidden="1" customHeight="1">
      <c r="A47" s="35"/>
      <c r="B47" s="35"/>
      <c r="C47" s="45"/>
      <c r="D47" s="35"/>
      <c r="E47" s="43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</row>
    <row r="48" spans="1:27" ht="15" hidden="1" customHeight="1">
      <c r="A48" s="35"/>
      <c r="B48" s="35"/>
      <c r="C48" s="45"/>
      <c r="D48" s="35"/>
      <c r="E48" s="43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</row>
    <row r="49" spans="1:27" ht="15" hidden="1" customHeight="1">
      <c r="A49" s="35"/>
      <c r="B49" s="35"/>
      <c r="C49" s="45"/>
      <c r="D49" s="35"/>
      <c r="E49" s="43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</row>
    <row r="50" spans="1:27" ht="15" hidden="1" customHeight="1">
      <c r="A50" s="35"/>
      <c r="B50" s="35"/>
      <c r="C50" s="45"/>
      <c r="D50" s="35"/>
      <c r="E50" s="43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</row>
    <row r="51" spans="1:27" ht="15" hidden="1" customHeight="1">
      <c r="A51" s="41"/>
      <c r="B51" s="35"/>
      <c r="C51" s="45"/>
      <c r="D51" s="35"/>
      <c r="E51" s="43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</row>
    <row r="52" spans="1:27" ht="15" hidden="1" customHeight="1">
      <c r="A52" s="41"/>
      <c r="B52" s="35"/>
      <c r="C52" s="45"/>
      <c r="D52" s="35"/>
      <c r="E52" s="43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</row>
    <row r="53" spans="1:27" ht="15" hidden="1" customHeight="1">
      <c r="A53" s="35"/>
      <c r="B53" s="35"/>
      <c r="C53" s="45"/>
      <c r="D53" s="35"/>
      <c r="E53" s="43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</row>
    <row r="54" spans="1:27" ht="15" hidden="1" customHeight="1">
      <c r="A54" s="35"/>
      <c r="B54" s="35"/>
      <c r="C54" s="45"/>
      <c r="D54" s="35"/>
      <c r="E54" s="43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</row>
    <row r="55" spans="1:27" ht="15" hidden="1" customHeight="1">
      <c r="A55" s="35"/>
      <c r="B55" s="35"/>
      <c r="C55" s="45"/>
      <c r="D55" s="35"/>
      <c r="E55" s="43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</row>
    <row r="56" spans="1:27" ht="15" hidden="1" customHeight="1">
      <c r="A56" s="35"/>
      <c r="B56" s="35"/>
      <c r="C56" s="45"/>
      <c r="D56" s="35"/>
      <c r="E56" s="43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</row>
    <row r="57" spans="1:27" ht="15" hidden="1" customHeight="1">
      <c r="A57" s="41"/>
      <c r="B57" s="35"/>
      <c r="C57" s="45"/>
      <c r="D57" s="35"/>
      <c r="E57" s="43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</row>
    <row r="58" spans="1:27" ht="15" hidden="1" customHeight="1">
      <c r="A58" s="41"/>
      <c r="B58" s="35"/>
      <c r="C58" s="45"/>
      <c r="D58" s="35"/>
      <c r="E58" s="43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</row>
    <row r="59" spans="1:27" ht="15" hidden="1" customHeight="1">
      <c r="A59" s="35"/>
      <c r="B59" s="35"/>
      <c r="C59" s="45"/>
      <c r="D59" s="35"/>
      <c r="E59" s="43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</row>
    <row r="60" spans="1:27" ht="15" hidden="1" customHeight="1">
      <c r="A60" s="35"/>
      <c r="B60" s="35"/>
      <c r="C60" s="45"/>
      <c r="D60" s="35"/>
      <c r="E60" s="43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</row>
    <row r="61" spans="1:27" ht="15" hidden="1" customHeight="1">
      <c r="A61" s="41"/>
      <c r="B61" s="35"/>
      <c r="C61" s="45"/>
      <c r="D61" s="35"/>
      <c r="E61" s="43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</row>
    <row r="62" spans="1:27" ht="15" hidden="1" customHeight="1">
      <c r="A62" s="41"/>
      <c r="B62" s="35"/>
      <c r="C62" s="45"/>
      <c r="D62" s="35"/>
      <c r="E62" s="43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</row>
    <row r="63" spans="1:27" ht="15" hidden="1" customHeight="1">
      <c r="A63" s="41"/>
      <c r="B63" s="35"/>
      <c r="C63" s="45"/>
      <c r="D63" s="35"/>
      <c r="E63" s="43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</row>
    <row r="64" spans="1:27" ht="15" hidden="1" customHeight="1">
      <c r="A64" s="35"/>
      <c r="B64" s="35"/>
      <c r="C64" s="45"/>
      <c r="D64" s="35"/>
      <c r="E64" s="43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</row>
    <row r="65" spans="1:27" ht="15" hidden="1" customHeight="1">
      <c r="A65" s="41"/>
      <c r="B65" s="35"/>
      <c r="C65" s="45"/>
      <c r="D65" s="35"/>
      <c r="E65" s="43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</row>
    <row r="66" spans="1:27" ht="15" hidden="1" customHeight="1">
      <c r="A66" s="35"/>
      <c r="B66" s="35"/>
      <c r="C66" s="45"/>
      <c r="D66" s="35"/>
      <c r="E66" s="43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</row>
    <row r="67" spans="1:27" ht="15" hidden="1" customHeight="1">
      <c r="A67" s="41"/>
      <c r="B67" s="35"/>
      <c r="C67" s="45"/>
      <c r="D67" s="35"/>
      <c r="E67" s="43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</row>
    <row r="68" spans="1:27" ht="15" hidden="1" customHeight="1">
      <c r="A68" s="35"/>
      <c r="B68" s="35"/>
      <c r="C68" s="45"/>
      <c r="D68" s="35"/>
      <c r="E68" s="43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</row>
    <row r="69" spans="1:27" ht="15" hidden="1" customHeight="1">
      <c r="A69" s="35"/>
      <c r="B69" s="35"/>
      <c r="C69" s="45"/>
      <c r="D69" s="35"/>
      <c r="E69" s="43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</row>
    <row r="70" spans="1:27" ht="15" hidden="1" customHeight="1">
      <c r="A70" s="35"/>
      <c r="B70" s="35"/>
      <c r="C70" s="45"/>
      <c r="D70" s="35"/>
      <c r="E70" s="43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</row>
    <row r="71" spans="1:27" ht="15" hidden="1" customHeight="1">
      <c r="A71" s="41"/>
      <c r="B71" s="35"/>
      <c r="C71" s="45"/>
      <c r="D71" s="35"/>
      <c r="E71" s="43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</row>
    <row r="72" spans="1:27" ht="15" hidden="1" customHeight="1">
      <c r="A72" s="35"/>
      <c r="B72" s="35"/>
      <c r="C72" s="45"/>
      <c r="D72" s="35"/>
      <c r="E72" s="43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</row>
    <row r="73" spans="1:27" ht="15" hidden="1" customHeight="1">
      <c r="A73" s="35"/>
      <c r="B73" s="35"/>
      <c r="C73" s="45"/>
      <c r="D73" s="35"/>
      <c r="E73" s="43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</row>
    <row r="74" spans="1:27" ht="15" hidden="1" customHeight="1">
      <c r="A74" s="35"/>
      <c r="B74" s="35"/>
      <c r="C74" s="45"/>
      <c r="D74" s="35"/>
      <c r="E74" s="43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</row>
    <row r="75" spans="1:27" ht="15" hidden="1" customHeight="1">
      <c r="A75" s="35"/>
      <c r="B75" s="35"/>
      <c r="C75" s="45"/>
      <c r="D75" s="35"/>
      <c r="E75" s="43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</row>
    <row r="76" spans="1:27" ht="15" hidden="1" customHeight="1">
      <c r="A76" s="35"/>
      <c r="B76" s="35"/>
      <c r="C76" s="45"/>
      <c r="D76" s="35"/>
      <c r="E76" s="43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</row>
    <row r="77" spans="1:27" ht="15" hidden="1" customHeight="1">
      <c r="A77" s="35"/>
      <c r="B77" s="35"/>
      <c r="C77" s="45"/>
      <c r="D77" s="35"/>
      <c r="E77" s="43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</row>
    <row r="78" spans="1:27" ht="15" hidden="1" customHeight="1">
      <c r="A78" s="35"/>
      <c r="B78" s="35"/>
      <c r="C78" s="45"/>
      <c r="D78" s="35"/>
      <c r="E78" s="43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</row>
    <row r="79" spans="1:27" ht="15" hidden="1" customHeight="1">
      <c r="A79" s="35"/>
      <c r="B79" s="35"/>
      <c r="C79" s="45"/>
      <c r="D79" s="35"/>
      <c r="E79" s="43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</row>
    <row r="80" spans="1:27" ht="15" hidden="1" customHeight="1">
      <c r="A80" s="35"/>
      <c r="B80" s="35"/>
      <c r="C80" s="45"/>
      <c r="D80" s="35"/>
      <c r="E80" s="43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</row>
    <row r="81" spans="1:27" ht="15" hidden="1" customHeight="1">
      <c r="A81" s="35"/>
      <c r="B81" s="35"/>
      <c r="C81" s="45"/>
      <c r="D81" s="35"/>
      <c r="E81" s="43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</row>
    <row r="82" spans="1:27" ht="15" hidden="1" customHeight="1">
      <c r="A82" s="35"/>
      <c r="B82" s="35"/>
      <c r="C82" s="45"/>
      <c r="D82" s="35"/>
      <c r="E82" s="43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</row>
    <row r="83" spans="1:27" ht="15" hidden="1" customHeight="1">
      <c r="A83" s="35"/>
      <c r="B83" s="35"/>
      <c r="C83" s="45"/>
      <c r="D83" s="35"/>
      <c r="E83" s="43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</row>
    <row r="84" spans="1:27" ht="15" hidden="1" customHeight="1">
      <c r="A84" s="35"/>
      <c r="B84" s="35"/>
      <c r="C84" s="45"/>
      <c r="D84" s="35"/>
      <c r="E84" s="43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</row>
    <row r="85" spans="1:27" ht="15" hidden="1" customHeight="1">
      <c r="A85" s="41"/>
      <c r="B85" s="35"/>
      <c r="C85" s="45"/>
      <c r="D85" s="35"/>
      <c r="E85" s="43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</row>
    <row r="86" spans="1:27" ht="15" hidden="1" customHeight="1">
      <c r="A86" s="41"/>
      <c r="B86" s="35"/>
      <c r="C86" s="45"/>
      <c r="D86" s="35"/>
      <c r="E86" s="43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</row>
    <row r="87" spans="1:27" ht="15" hidden="1" customHeight="1">
      <c r="A87" s="41"/>
      <c r="B87" s="35"/>
      <c r="C87" s="45"/>
      <c r="D87" s="35"/>
      <c r="E87" s="43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</row>
    <row r="88" spans="1:27" ht="15" hidden="1" customHeight="1">
      <c r="A88" s="35"/>
      <c r="B88" s="35"/>
      <c r="C88" s="45"/>
      <c r="D88" s="35"/>
      <c r="E88" s="43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</row>
    <row r="89" spans="1:27" ht="15" hidden="1" customHeight="1">
      <c r="A89" s="41"/>
      <c r="B89" s="35"/>
      <c r="C89" s="45"/>
      <c r="D89" s="35"/>
      <c r="E89" s="43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</row>
    <row r="90" spans="1:27" ht="15" hidden="1" customHeight="1">
      <c r="A90" s="41"/>
      <c r="B90" s="35"/>
      <c r="C90" s="45"/>
      <c r="D90" s="35"/>
      <c r="E90" s="43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</row>
    <row r="91" spans="1:27" ht="15" hidden="1" customHeight="1">
      <c r="A91" s="41"/>
      <c r="B91" s="35"/>
      <c r="C91" s="45"/>
      <c r="D91" s="35"/>
      <c r="E91" s="43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</row>
    <row r="92" spans="1:27" ht="15" hidden="1" customHeight="1">
      <c r="A92" s="35"/>
      <c r="B92" s="35"/>
      <c r="C92" s="45"/>
      <c r="D92" s="35"/>
      <c r="E92" s="43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</row>
    <row r="93" spans="1:27" ht="15" hidden="1" customHeight="1">
      <c r="A93" s="35"/>
      <c r="B93" s="35"/>
      <c r="C93" s="45"/>
      <c r="D93" s="35"/>
      <c r="E93" s="43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</row>
    <row r="94" spans="1:27" ht="15" hidden="1" customHeight="1">
      <c r="A94" s="41"/>
      <c r="B94" s="35"/>
      <c r="C94" s="45"/>
      <c r="D94" s="35"/>
      <c r="E94" s="43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</row>
    <row r="95" spans="1:27" ht="15" hidden="1" customHeight="1">
      <c r="A95" s="35"/>
      <c r="B95" s="35"/>
      <c r="C95" s="45"/>
      <c r="D95" s="35"/>
      <c r="E95" s="43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</row>
    <row r="96" spans="1:27" ht="15" hidden="1" customHeight="1">
      <c r="A96" s="41"/>
      <c r="B96" s="35"/>
      <c r="C96" s="45"/>
      <c r="D96" s="35"/>
      <c r="E96" s="43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</row>
    <row r="97" spans="1:27" ht="15" hidden="1" customHeight="1">
      <c r="A97" s="35"/>
      <c r="B97" s="35"/>
      <c r="C97" s="45"/>
      <c r="D97" s="35"/>
      <c r="E97" s="43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</row>
    <row r="98" spans="1:27" ht="15" hidden="1" customHeight="1">
      <c r="A98" s="35"/>
      <c r="B98" s="35"/>
      <c r="C98" s="45"/>
      <c r="D98" s="35"/>
      <c r="E98" s="43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</row>
    <row r="99" spans="1:27" ht="15" hidden="1" customHeight="1">
      <c r="A99" s="35"/>
      <c r="B99" s="35"/>
      <c r="C99" s="45"/>
      <c r="D99" s="35"/>
      <c r="E99" s="43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</row>
    <row r="100" spans="1:27" ht="15" hidden="1" customHeight="1">
      <c r="A100" s="35"/>
      <c r="B100" s="35"/>
      <c r="C100" s="45"/>
      <c r="D100" s="35"/>
      <c r="E100" s="43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</row>
    <row r="101" spans="1:27" ht="15" hidden="1" customHeight="1">
      <c r="A101" s="35"/>
      <c r="B101" s="35"/>
      <c r="C101" s="45"/>
      <c r="D101" s="35"/>
      <c r="E101" s="43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</row>
    <row r="102" spans="1:27" ht="15" hidden="1" customHeight="1">
      <c r="A102" s="35"/>
      <c r="B102" s="35"/>
      <c r="C102" s="45"/>
      <c r="D102" s="35"/>
      <c r="E102" s="44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</row>
    <row r="103" spans="1:27" ht="15" hidden="1" customHeight="1">
      <c r="A103" s="35"/>
      <c r="B103" s="35"/>
      <c r="C103" s="45"/>
      <c r="D103" s="35"/>
      <c r="E103" s="44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</row>
    <row r="104" spans="1:27" ht="15" hidden="1" customHeight="1">
      <c r="A104" s="35"/>
      <c r="B104" s="35"/>
      <c r="C104" s="45"/>
      <c r="D104" s="35"/>
      <c r="E104" s="44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</row>
    <row r="105" spans="1:27" ht="15" hidden="1" customHeight="1">
      <c r="A105" s="35"/>
      <c r="B105" s="35"/>
      <c r="C105" s="45"/>
      <c r="D105" s="35"/>
      <c r="E105" s="44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</row>
    <row r="106" spans="1:27" ht="15" hidden="1" customHeight="1">
      <c r="A106" s="35"/>
      <c r="B106" s="35"/>
      <c r="C106" s="45"/>
      <c r="D106" s="35"/>
      <c r="E106" s="44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</row>
    <row r="107" spans="1:27" ht="15" hidden="1" customHeight="1">
      <c r="A107" s="35"/>
      <c r="B107" s="35"/>
      <c r="C107" s="45"/>
      <c r="D107" s="35"/>
      <c r="E107" s="44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</row>
    <row r="108" spans="1:27" ht="15" hidden="1" customHeight="1">
      <c r="A108" s="35"/>
      <c r="B108" s="35"/>
      <c r="C108" s="45"/>
      <c r="D108" s="35"/>
      <c r="E108" s="44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</row>
    <row r="109" spans="1:27" ht="15" hidden="1" customHeight="1">
      <c r="A109" s="35"/>
      <c r="B109" s="35"/>
      <c r="C109" s="45"/>
      <c r="D109" s="35"/>
      <c r="E109" s="44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</row>
    <row r="110" spans="1:27" ht="15" hidden="1" customHeight="1">
      <c r="A110" s="35"/>
      <c r="B110" s="35"/>
      <c r="C110" s="45"/>
      <c r="D110" s="35"/>
      <c r="E110" s="44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</row>
    <row r="111" spans="1:27" ht="15" hidden="1" customHeight="1">
      <c r="A111" s="35"/>
      <c r="B111" s="35"/>
      <c r="C111" s="45"/>
      <c r="D111" s="35"/>
      <c r="E111" s="44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</row>
    <row r="112" spans="1:27" ht="15" hidden="1" customHeight="1">
      <c r="A112" s="35"/>
      <c r="B112" s="35"/>
      <c r="C112" s="45"/>
      <c r="D112" s="35"/>
      <c r="E112" s="44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</row>
    <row r="113" spans="1:27" ht="15" hidden="1" customHeight="1">
      <c r="A113" s="35"/>
      <c r="B113" s="35"/>
      <c r="C113" s="45"/>
      <c r="D113" s="35"/>
      <c r="E113" s="44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</row>
    <row r="114" spans="1:27" ht="15" hidden="1" customHeight="1">
      <c r="A114" s="35"/>
      <c r="B114" s="35"/>
      <c r="C114" s="45"/>
      <c r="D114" s="35"/>
      <c r="E114" s="44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</row>
    <row r="115" spans="1:27" ht="15" hidden="1" customHeight="1">
      <c r="A115" s="35"/>
      <c r="B115" s="35"/>
      <c r="C115" s="35"/>
      <c r="D115" s="35"/>
      <c r="E115" s="44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</row>
    <row r="116" spans="1:27" ht="15" hidden="1" customHeight="1">
      <c r="A116" s="35"/>
      <c r="B116" s="35"/>
      <c r="C116" s="35"/>
      <c r="D116" s="35"/>
      <c r="E116" s="44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</row>
    <row r="117" spans="1:27" ht="15" hidden="1" customHeight="1">
      <c r="A117" s="35"/>
      <c r="B117" s="35"/>
      <c r="C117" s="35"/>
      <c r="D117" s="35"/>
      <c r="E117" s="44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</row>
    <row r="118" spans="1:27" ht="15" hidden="1" customHeight="1">
      <c r="A118" s="35"/>
      <c r="B118" s="35"/>
      <c r="C118" s="35"/>
      <c r="D118" s="35"/>
      <c r="E118" s="44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</row>
    <row r="119" spans="1:27" ht="15" hidden="1" customHeight="1">
      <c r="A119" s="35"/>
      <c r="B119" s="35"/>
      <c r="C119" s="35"/>
      <c r="D119" s="35"/>
      <c r="E119" s="44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</row>
    <row r="120" spans="1:27" ht="15" hidden="1" customHeight="1">
      <c r="A120" s="35"/>
      <c r="B120" s="35"/>
      <c r="C120" s="35"/>
      <c r="D120" s="35"/>
      <c r="E120" s="44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</row>
    <row r="121" spans="1:27" ht="15" hidden="1" customHeight="1">
      <c r="A121" s="35"/>
      <c r="B121" s="35"/>
      <c r="C121" s="35"/>
      <c r="D121" s="35"/>
      <c r="E121" s="44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</row>
    <row r="122" spans="1:27" ht="15" hidden="1" customHeight="1">
      <c r="A122" s="35"/>
      <c r="B122" s="35"/>
      <c r="C122" s="35"/>
      <c r="D122" s="35"/>
      <c r="E122" s="44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</row>
    <row r="123" spans="1:27" ht="15" hidden="1" customHeight="1">
      <c r="A123" s="35"/>
      <c r="B123" s="35"/>
      <c r="C123" s="35"/>
      <c r="D123" s="35"/>
      <c r="E123" s="44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</row>
    <row r="124" spans="1:27" ht="15" hidden="1" customHeight="1">
      <c r="A124" s="35"/>
      <c r="B124" s="35"/>
      <c r="C124" s="35"/>
      <c r="D124" s="35"/>
      <c r="E124" s="44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</row>
    <row r="125" spans="1:27" ht="15" hidden="1" customHeight="1">
      <c r="A125" s="35"/>
      <c r="B125" s="35"/>
      <c r="C125" s="35"/>
      <c r="D125" s="35"/>
      <c r="E125" s="44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</row>
    <row r="126" spans="1:27" ht="15" hidden="1" customHeight="1">
      <c r="A126" s="35"/>
      <c r="B126" s="35"/>
      <c r="C126" s="35"/>
      <c r="D126" s="35"/>
      <c r="E126" s="44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</row>
    <row r="127" spans="1:27" ht="15" hidden="1" customHeight="1">
      <c r="A127" s="35"/>
      <c r="B127" s="35"/>
      <c r="C127" s="35"/>
      <c r="D127" s="35"/>
      <c r="E127" s="44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</row>
    <row r="128" spans="1:27" ht="15" hidden="1" customHeight="1">
      <c r="A128" s="35"/>
      <c r="B128" s="35"/>
      <c r="C128" s="35"/>
      <c r="D128" s="35"/>
      <c r="E128" s="44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</row>
    <row r="129" spans="1:27" ht="15" hidden="1" customHeight="1">
      <c r="A129" s="35"/>
      <c r="B129" s="35"/>
      <c r="C129" s="35"/>
      <c r="D129" s="35"/>
      <c r="E129" s="44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</row>
    <row r="130" spans="1:27" ht="15" hidden="1" customHeight="1">
      <c r="A130" s="35"/>
      <c r="B130" s="35"/>
      <c r="C130" s="35"/>
      <c r="D130" s="35"/>
      <c r="E130" s="44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</row>
    <row r="131" spans="1:27" ht="15" hidden="1" customHeight="1">
      <c r="A131" s="35"/>
      <c r="B131" s="35"/>
      <c r="C131" s="35"/>
      <c r="D131" s="35"/>
      <c r="E131" s="44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</row>
    <row r="132" spans="1:27" ht="15" hidden="1" customHeight="1">
      <c r="A132" s="35"/>
      <c r="B132" s="35"/>
      <c r="C132" s="35"/>
      <c r="D132" s="35"/>
      <c r="E132" s="44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</row>
    <row r="133" spans="1:27" ht="15" hidden="1" customHeight="1">
      <c r="A133" s="35"/>
      <c r="B133" s="35"/>
      <c r="C133" s="35"/>
      <c r="D133" s="35"/>
      <c r="E133" s="44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</row>
    <row r="134" spans="1:27" ht="15" hidden="1" customHeight="1">
      <c r="A134" s="35"/>
      <c r="B134" s="35"/>
      <c r="C134" s="35"/>
      <c r="D134" s="35"/>
      <c r="E134" s="44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</row>
    <row r="135" spans="1:27" ht="15" hidden="1" customHeight="1">
      <c r="A135" s="35"/>
      <c r="B135" s="35"/>
      <c r="C135" s="35"/>
      <c r="D135" s="35"/>
      <c r="E135" s="44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</row>
    <row r="136" spans="1:27" ht="15" hidden="1" customHeight="1">
      <c r="A136" s="35"/>
      <c r="B136" s="35"/>
      <c r="C136" s="35"/>
      <c r="D136" s="35"/>
      <c r="E136" s="44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</row>
    <row r="137" spans="1:27" ht="15" hidden="1" customHeight="1">
      <c r="A137" s="35"/>
      <c r="B137" s="35"/>
      <c r="C137" s="35"/>
      <c r="D137" s="35"/>
      <c r="E137" s="44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</row>
    <row r="138" spans="1:27" ht="15" hidden="1" customHeight="1">
      <c r="A138" s="35"/>
      <c r="B138" s="35"/>
      <c r="C138" s="35"/>
      <c r="D138" s="35"/>
      <c r="E138" s="44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</row>
    <row r="139" spans="1:27" ht="15" hidden="1" customHeight="1">
      <c r="A139" s="35"/>
      <c r="B139" s="35"/>
      <c r="C139" s="35"/>
      <c r="D139" s="35"/>
      <c r="E139" s="44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</row>
    <row r="140" spans="1:27" ht="15" hidden="1" customHeight="1">
      <c r="A140" s="35"/>
      <c r="B140" s="35"/>
      <c r="C140" s="35"/>
      <c r="D140" s="35"/>
      <c r="E140" s="44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</row>
    <row r="141" spans="1:27" ht="15" hidden="1" customHeight="1">
      <c r="A141" s="35"/>
      <c r="B141" s="35"/>
      <c r="C141" s="35"/>
      <c r="D141" s="35"/>
      <c r="E141" s="44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</row>
    <row r="142" spans="1:27" ht="15" hidden="1" customHeight="1">
      <c r="A142" s="35"/>
      <c r="B142" s="35"/>
      <c r="C142" s="35"/>
      <c r="D142" s="35"/>
      <c r="E142" s="44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</row>
    <row r="143" spans="1:27" ht="15" hidden="1" customHeight="1">
      <c r="A143" s="35"/>
      <c r="B143" s="35"/>
      <c r="C143" s="35"/>
      <c r="D143" s="35"/>
      <c r="E143" s="44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</row>
    <row r="144" spans="1:27" ht="15" hidden="1" customHeight="1">
      <c r="A144" s="35"/>
      <c r="B144" s="35"/>
      <c r="C144" s="35"/>
      <c r="D144" s="35"/>
      <c r="E144" s="44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</row>
    <row r="145" spans="1:27" ht="15" hidden="1" customHeight="1">
      <c r="A145" s="35"/>
      <c r="B145" s="35"/>
      <c r="C145" s="35"/>
      <c r="D145" s="35"/>
      <c r="E145" s="44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</row>
    <row r="146" spans="1:27" ht="15" hidden="1" customHeight="1">
      <c r="A146" s="35"/>
      <c r="B146" s="35"/>
      <c r="C146" s="35"/>
      <c r="D146" s="35"/>
      <c r="E146" s="44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</row>
    <row r="147" spans="1:27" ht="15" hidden="1" customHeight="1">
      <c r="A147" s="35"/>
      <c r="B147" s="35"/>
      <c r="C147" s="35"/>
      <c r="D147" s="35"/>
      <c r="E147" s="44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</row>
    <row r="148" spans="1:27" ht="15" hidden="1" customHeight="1">
      <c r="A148" s="35"/>
      <c r="B148" s="35"/>
      <c r="C148" s="35"/>
      <c r="D148" s="35"/>
      <c r="E148" s="44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</row>
    <row r="149" spans="1:27" ht="15" hidden="1" customHeight="1">
      <c r="A149" s="35"/>
      <c r="B149" s="35"/>
      <c r="C149" s="35"/>
      <c r="D149" s="35"/>
      <c r="E149" s="44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</row>
    <row r="150" spans="1:27" ht="15" hidden="1" customHeight="1">
      <c r="A150" s="35"/>
      <c r="B150" s="35"/>
      <c r="C150" s="35"/>
      <c r="D150" s="35"/>
      <c r="E150" s="44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</row>
    <row r="151" spans="1:27" ht="15" hidden="1" customHeight="1">
      <c r="A151" s="35"/>
      <c r="B151" s="35"/>
      <c r="C151" s="35"/>
      <c r="D151" s="35"/>
      <c r="E151" s="44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</row>
    <row r="152" spans="1:27" ht="15" hidden="1" customHeight="1">
      <c r="A152" s="35"/>
      <c r="B152" s="35"/>
      <c r="C152" s="35"/>
      <c r="D152" s="35"/>
      <c r="E152" s="44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</row>
    <row r="153" spans="1:27" ht="15" hidden="1" customHeight="1">
      <c r="A153" s="35"/>
      <c r="B153" s="35"/>
      <c r="C153" s="35"/>
      <c r="D153" s="35"/>
      <c r="E153" s="44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</row>
    <row r="154" spans="1:27" ht="15" hidden="1" customHeight="1">
      <c r="A154" s="35"/>
      <c r="B154" s="35"/>
      <c r="C154" s="35"/>
      <c r="D154" s="35"/>
      <c r="E154" s="44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</row>
    <row r="155" spans="1:27" ht="15" hidden="1" customHeight="1">
      <c r="A155" s="35"/>
      <c r="B155" s="35"/>
      <c r="C155" s="35"/>
      <c r="D155" s="35"/>
      <c r="E155" s="44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</row>
    <row r="156" spans="1:27" ht="15" hidden="1" customHeight="1">
      <c r="A156" s="35"/>
      <c r="B156" s="35"/>
      <c r="C156" s="35"/>
      <c r="D156" s="35"/>
      <c r="E156" s="44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</row>
    <row r="157" spans="1:27" ht="15" hidden="1" customHeight="1">
      <c r="A157" s="35"/>
      <c r="B157" s="35"/>
      <c r="C157" s="35"/>
      <c r="D157" s="35"/>
      <c r="E157" s="44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</row>
    <row r="158" spans="1:27" ht="15" hidden="1" customHeight="1">
      <c r="A158" s="35"/>
      <c r="B158" s="35"/>
      <c r="C158" s="35"/>
      <c r="D158" s="35"/>
      <c r="E158" s="44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</row>
    <row r="159" spans="1:27" ht="15" hidden="1" customHeight="1">
      <c r="A159" s="35"/>
      <c r="B159" s="35"/>
      <c r="C159" s="35"/>
      <c r="D159" s="35"/>
      <c r="E159" s="44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</row>
    <row r="160" spans="1:27" ht="15" hidden="1" customHeight="1">
      <c r="A160" s="35"/>
      <c r="B160" s="35"/>
      <c r="C160" s="35"/>
      <c r="D160" s="35"/>
      <c r="E160" s="44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</row>
    <row r="161" spans="1:27" ht="15" hidden="1" customHeight="1">
      <c r="A161" s="35"/>
      <c r="B161" s="35"/>
      <c r="C161" s="35"/>
      <c r="D161" s="35"/>
      <c r="E161" s="44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</row>
    <row r="162" spans="1:27" ht="15" hidden="1" customHeight="1">
      <c r="A162" s="35"/>
      <c r="B162" s="35"/>
      <c r="C162" s="35"/>
      <c r="D162" s="35"/>
      <c r="E162" s="44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</row>
    <row r="163" spans="1:27" ht="15" hidden="1" customHeight="1">
      <c r="A163" s="35"/>
      <c r="B163" s="35"/>
      <c r="C163" s="35"/>
      <c r="D163" s="35"/>
      <c r="E163" s="44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</row>
    <row r="164" spans="1:27" ht="15" hidden="1" customHeight="1">
      <c r="A164" s="35"/>
      <c r="B164" s="35"/>
      <c r="C164" s="35"/>
      <c r="D164" s="35"/>
      <c r="E164" s="44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</row>
    <row r="165" spans="1:27" ht="15" hidden="1" customHeight="1">
      <c r="A165" s="35"/>
      <c r="B165" s="35"/>
      <c r="C165" s="35"/>
      <c r="D165" s="35"/>
      <c r="E165" s="44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</row>
    <row r="166" spans="1:27" ht="15" hidden="1" customHeight="1">
      <c r="A166" s="35"/>
      <c r="B166" s="35"/>
      <c r="C166" s="35"/>
      <c r="D166" s="35"/>
      <c r="E166" s="44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</row>
    <row r="167" spans="1:27" ht="15" hidden="1" customHeight="1">
      <c r="A167" s="35"/>
      <c r="B167" s="35"/>
      <c r="C167" s="35"/>
      <c r="D167" s="35"/>
      <c r="E167" s="44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</row>
    <row r="168" spans="1:27" ht="15" hidden="1" customHeight="1">
      <c r="A168" s="35"/>
      <c r="B168" s="35"/>
      <c r="C168" s="35"/>
      <c r="D168" s="35"/>
      <c r="E168" s="44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</row>
    <row r="169" spans="1:27" ht="15" hidden="1" customHeight="1">
      <c r="A169" s="35"/>
      <c r="B169" s="35"/>
      <c r="C169" s="35"/>
      <c r="D169" s="35"/>
      <c r="E169" s="44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</row>
    <row r="170" spans="1:27" ht="15" hidden="1" customHeight="1">
      <c r="A170" s="35"/>
      <c r="B170" s="35"/>
      <c r="C170" s="35"/>
      <c r="D170" s="35"/>
      <c r="E170" s="44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</row>
    <row r="171" spans="1:27" ht="15" hidden="1" customHeight="1">
      <c r="A171" s="35"/>
      <c r="B171" s="35"/>
      <c r="C171" s="35"/>
      <c r="D171" s="35"/>
      <c r="E171" s="44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</row>
    <row r="172" spans="1:27" ht="15" hidden="1" customHeight="1">
      <c r="A172" s="35"/>
      <c r="B172" s="35"/>
      <c r="C172" s="35"/>
      <c r="D172" s="35"/>
      <c r="E172" s="44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</row>
    <row r="173" spans="1:27" ht="15" hidden="1" customHeight="1">
      <c r="A173" s="35"/>
      <c r="B173" s="35"/>
      <c r="C173" s="35"/>
      <c r="D173" s="35"/>
      <c r="E173" s="44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</row>
    <row r="174" spans="1:27" ht="15" hidden="1" customHeight="1">
      <c r="A174" s="35"/>
      <c r="B174" s="35"/>
      <c r="C174" s="35"/>
      <c r="D174" s="35"/>
      <c r="E174" s="44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</row>
    <row r="175" spans="1:27" ht="15" hidden="1" customHeight="1">
      <c r="A175" s="35"/>
      <c r="B175" s="35"/>
      <c r="C175" s="35"/>
      <c r="D175" s="35"/>
      <c r="E175" s="44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</row>
    <row r="176" spans="1:27" ht="15" hidden="1" customHeight="1">
      <c r="A176" s="35"/>
      <c r="B176" s="35"/>
      <c r="C176" s="35"/>
      <c r="D176" s="35"/>
      <c r="E176" s="44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</row>
    <row r="177" spans="1:27" ht="15" hidden="1" customHeight="1">
      <c r="A177" s="35"/>
      <c r="B177" s="35"/>
      <c r="C177" s="35"/>
      <c r="D177" s="35"/>
      <c r="E177" s="44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</row>
    <row r="178" spans="1:27" ht="15" hidden="1" customHeight="1">
      <c r="A178" s="35"/>
      <c r="B178" s="35"/>
      <c r="C178" s="35"/>
      <c r="D178" s="35"/>
      <c r="E178" s="44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</row>
    <row r="179" spans="1:27" ht="15" hidden="1" customHeight="1">
      <c r="A179" s="35"/>
      <c r="B179" s="35"/>
      <c r="C179" s="35"/>
      <c r="D179" s="35"/>
      <c r="E179" s="44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</row>
    <row r="180" spans="1:27" ht="15" hidden="1" customHeight="1">
      <c r="A180" s="35"/>
      <c r="B180" s="35"/>
      <c r="C180" s="35"/>
      <c r="D180" s="35"/>
      <c r="E180" s="44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</row>
    <row r="181" spans="1:27" ht="15" hidden="1" customHeight="1">
      <c r="A181" s="35"/>
      <c r="B181" s="35"/>
      <c r="C181" s="35"/>
      <c r="D181" s="35"/>
      <c r="E181" s="44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</row>
    <row r="182" spans="1:27" ht="15" hidden="1" customHeight="1">
      <c r="A182" s="35"/>
      <c r="B182" s="35"/>
      <c r="C182" s="35"/>
      <c r="D182" s="35"/>
      <c r="E182" s="44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</row>
    <row r="183" spans="1:27" ht="15" hidden="1" customHeight="1">
      <c r="A183" s="35"/>
      <c r="B183" s="35"/>
      <c r="C183" s="35"/>
      <c r="D183" s="35"/>
      <c r="E183" s="44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</row>
    <row r="184" spans="1:27" ht="15" hidden="1" customHeight="1">
      <c r="A184" s="35"/>
      <c r="B184" s="35"/>
      <c r="C184" s="35"/>
      <c r="D184" s="35"/>
      <c r="E184" s="44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</row>
    <row r="185" spans="1:27" ht="15" hidden="1" customHeight="1">
      <c r="A185" s="35"/>
      <c r="B185" s="35"/>
      <c r="C185" s="35"/>
      <c r="D185" s="35"/>
      <c r="E185" s="44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</row>
    <row r="186" spans="1:27" ht="15" hidden="1" customHeight="1">
      <c r="A186" s="35"/>
      <c r="B186" s="35"/>
      <c r="C186" s="35"/>
      <c r="D186" s="35"/>
      <c r="E186" s="44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</row>
    <row r="187" spans="1:27" ht="15" hidden="1" customHeight="1">
      <c r="A187" s="35"/>
      <c r="B187" s="35"/>
      <c r="C187" s="35"/>
      <c r="D187" s="35"/>
      <c r="E187" s="44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</row>
    <row r="188" spans="1:27" ht="15" hidden="1" customHeight="1">
      <c r="A188" s="35"/>
      <c r="B188" s="35"/>
      <c r="C188" s="35"/>
      <c r="D188" s="35"/>
      <c r="E188" s="44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</row>
    <row r="189" spans="1:27" ht="15" hidden="1" customHeight="1">
      <c r="A189" s="35"/>
      <c r="B189" s="35"/>
      <c r="C189" s="35"/>
      <c r="D189" s="35"/>
      <c r="E189" s="44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</row>
    <row r="190" spans="1:27" ht="15" hidden="1" customHeight="1">
      <c r="A190" s="35"/>
      <c r="B190" s="35"/>
      <c r="C190" s="35"/>
      <c r="D190" s="35"/>
      <c r="E190" s="44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</row>
    <row r="191" spans="1:27" ht="15" hidden="1" customHeight="1">
      <c r="A191" s="35"/>
      <c r="B191" s="35"/>
      <c r="C191" s="35"/>
      <c r="D191" s="35"/>
      <c r="E191" s="44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</row>
    <row r="192" spans="1:27" ht="15" hidden="1" customHeight="1">
      <c r="A192" s="35"/>
      <c r="B192" s="35"/>
      <c r="C192" s="35"/>
      <c r="D192" s="35"/>
      <c r="E192" s="44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</row>
    <row r="193" spans="1:27" ht="15" hidden="1" customHeight="1">
      <c r="A193" s="35"/>
      <c r="B193" s="35"/>
      <c r="C193" s="35"/>
      <c r="D193" s="35"/>
      <c r="E193" s="44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</row>
    <row r="194" spans="1:27" ht="18" customHeight="1">
      <c r="A194" s="35"/>
      <c r="B194" s="35"/>
      <c r="C194" s="35"/>
      <c r="D194" s="35"/>
      <c r="E194" s="44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</row>
    <row r="195" spans="1:27" ht="24" customHeight="1">
      <c r="A195" s="35"/>
      <c r="B195" s="35"/>
      <c r="C195" s="35"/>
      <c r="D195" s="35"/>
      <c r="E195" s="44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</row>
    <row r="196" spans="1:27" ht="15" customHeight="1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spans="1:27" ht="15" customHeight="1">
      <c r="A197" s="35"/>
      <c r="B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spans="1:27" ht="15" customHeight="1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spans="1:27" ht="15" customHeight="1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spans="1:27" ht="15" customHeight="1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spans="1:27" ht="15" customHeight="1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spans="1:27" ht="15" customHeight="1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spans="1:27" ht="15" customHeight="1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spans="1:27" ht="15" customHeight="1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spans="1:27" ht="15" customHeight="1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spans="1:27" ht="1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spans="1:27" ht="1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spans="1:27" ht="1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spans="1:26" ht="1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spans="1:26" ht="1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spans="1:26" ht="15" customHeight="1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spans="1:26" ht="15" customHeight="1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spans="1:26" ht="15" customHeight="1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spans="1:26" ht="15" customHeight="1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spans="1:26" ht="15" customHeight="1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spans="1:26" ht="15" customHeight="1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spans="1:26" ht="15" customHeight="1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spans="1:26" ht="15" customHeight="1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spans="1:26" ht="15" customHeight="1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spans="1:26" ht="15" customHeight="1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spans="1:26" ht="15" customHeight="1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spans="1:26" ht="15" customHeight="1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spans="1:26" ht="15" customHeight="1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spans="1:26" ht="15" customHeight="1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spans="1:26" ht="15" customHeight="1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spans="1:26" ht="15" customHeight="1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spans="1:26" ht="15" customHeight="1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spans="1:26" ht="15" customHeight="1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spans="1:26" ht="15" customHeight="1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spans="1:26" ht="15" customHeight="1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spans="1:26" ht="15" customHeight="1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spans="1:26" ht="15" customHeight="1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spans="1:26" ht="15" customHeight="1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spans="1:26" ht="15" customHeight="1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spans="1:26" ht="15" customHeight="1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spans="1:26" ht="15" customHeight="1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spans="1:26" ht="15" customHeight="1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spans="1:26" ht="15" customHeight="1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spans="1:26" ht="15" customHeight="1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spans="1:26" ht="15" customHeight="1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spans="1:26" ht="15" customHeight="1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spans="1:26" ht="15" customHeight="1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spans="1:26" ht="15" customHeight="1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spans="1:26" ht="15" customHeight="1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spans="1:26" ht="15" customHeight="1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spans="1:26" ht="15" customHeight="1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spans="1:26" ht="15" customHeight="1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spans="1:26" ht="15" customHeight="1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spans="1:26" ht="15" customHeight="1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spans="1:26" ht="15" customHeight="1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spans="1:26" ht="15" customHeight="1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spans="1:26" ht="15" customHeight="1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spans="1:26" ht="15" customHeight="1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spans="1:26" ht="15" customHeight="1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spans="1:26" ht="15" customHeight="1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spans="1:26" ht="15" customHeight="1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spans="1:26" ht="15" customHeight="1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spans="1:26" ht="15" customHeight="1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spans="1:26" ht="15" customHeight="1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spans="1:26" ht="15" customHeight="1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spans="1:26" ht="15" customHeight="1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spans="1:26" ht="15" customHeight="1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spans="1:26" ht="15" customHeight="1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spans="1:26" ht="15" customHeight="1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spans="1:26" ht="15" customHeight="1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spans="1:26" ht="15" customHeight="1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spans="1:26" ht="15" customHeight="1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spans="1:26" ht="15" customHeight="1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spans="1:26" ht="15" customHeight="1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spans="1:26" ht="15" customHeight="1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spans="1:26" ht="15" customHeight="1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spans="1:26" ht="15" customHeight="1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spans="1:26" ht="15" customHeight="1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spans="1:26" ht="15" customHeight="1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spans="1:26" ht="15" customHeight="1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spans="1:26" ht="15" customHeight="1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spans="1:26" ht="15" customHeight="1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spans="1:26" ht="15" customHeight="1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spans="1:26" ht="15" customHeight="1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spans="1:26" ht="15" customHeight="1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spans="1:26" ht="15" customHeight="1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spans="1:26" ht="15" customHeight="1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spans="1:26" ht="15" customHeight="1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spans="1:26" ht="15" customHeight="1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spans="1:26" ht="15" customHeight="1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spans="1:26" ht="15" customHeight="1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spans="1:26" ht="1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spans="1:26" ht="15" customHeight="1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spans="1:26" ht="15" customHeight="1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spans="1:26" ht="15" customHeight="1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spans="1:26" ht="15" customHeight="1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spans="1:26" ht="15" customHeight="1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spans="1:26" ht="15" customHeight="1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spans="1:26" ht="15" customHeight="1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spans="1:26" ht="15" customHeight="1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spans="1:26" ht="15" customHeight="1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spans="1:26" ht="15" customHeight="1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spans="1:26" ht="15" customHeight="1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spans="1:26" ht="15" customHeight="1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spans="1:26" ht="15" customHeight="1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spans="1:26" ht="15" customHeight="1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spans="1:26" ht="15" customHeight="1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spans="1:26" ht="15" customHeight="1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spans="1:26" ht="15" customHeight="1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spans="1:26" ht="15" customHeight="1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spans="1:26" ht="15" customHeight="1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spans="1:26" ht="15" customHeight="1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spans="1:26" ht="15" customHeight="1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spans="1:26" ht="15" customHeight="1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spans="1:26" ht="15" customHeight="1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spans="1:26" ht="15" customHeight="1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spans="1:26" ht="15" customHeight="1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spans="1:26" ht="15" customHeight="1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spans="1:26" ht="15" customHeight="1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spans="1:26" ht="15" customHeight="1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spans="1:26" ht="15" customHeight="1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spans="1:26" ht="15" customHeight="1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spans="1:26" ht="15" customHeight="1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spans="1:26" ht="15" customHeight="1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spans="1:26" ht="15" customHeight="1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spans="1:26" ht="15" customHeight="1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spans="1:26" ht="15" customHeight="1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spans="1:26" ht="15" customHeight="1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spans="1:26" ht="15" customHeight="1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spans="1:26" ht="15" customHeight="1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spans="1:26" ht="15" customHeight="1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spans="1:26" ht="15" customHeight="1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spans="1:26" ht="15" customHeight="1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spans="1:26" ht="15" customHeight="1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spans="1:26" ht="15" customHeight="1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spans="1:26" ht="15" customHeight="1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spans="1:26" ht="15" customHeight="1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spans="1:26" ht="15" customHeight="1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spans="1:26" ht="15" customHeight="1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spans="1:26" ht="15" customHeight="1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spans="1:26" ht="15" customHeight="1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spans="1:26" ht="15" customHeight="1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spans="1:26" ht="15" customHeight="1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spans="1:26" ht="15" customHeight="1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spans="1:26" ht="15" customHeight="1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spans="1:26" ht="15" customHeight="1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spans="1:26" ht="15" customHeight="1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spans="1:26" ht="15" customHeight="1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spans="1:26" ht="15" customHeight="1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spans="1:26" ht="15" customHeight="1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spans="1:26" ht="15" customHeight="1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spans="1:26" ht="15" customHeight="1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spans="1:26" ht="15" customHeight="1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spans="1:26" ht="15" customHeight="1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spans="1:26" ht="15" customHeight="1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spans="1:26" ht="15" customHeight="1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spans="1:26" ht="15" customHeight="1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spans="1:26" ht="15" customHeight="1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spans="1:26" ht="15" customHeight="1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spans="1:26" ht="15" customHeight="1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spans="1:26" ht="15" customHeight="1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spans="1:26" ht="15" customHeight="1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spans="1:26" ht="15" customHeight="1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spans="1:26" ht="15" customHeight="1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spans="1:26" ht="15" customHeight="1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spans="1:26" ht="15" customHeight="1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spans="1:26" ht="15" customHeight="1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spans="1:26" ht="15" customHeight="1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spans="1:26" ht="15" customHeight="1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spans="1:26" ht="1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spans="1:26" ht="1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spans="1:26" ht="1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spans="1:26" ht="1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spans="1:26" ht="1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spans="1:26" ht="1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spans="1:26" ht="1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spans="1:26" ht="1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spans="1:26" ht="1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spans="1:26" ht="1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spans="1:26" ht="1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spans="1:26" ht="1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spans="1:26" ht="1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spans="1:26" ht="1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spans="1:26" ht="1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spans="1:26" ht="1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spans="1:26" ht="1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spans="1:26" ht="1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spans="1:26" ht="1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spans="1:26" ht="1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spans="1:26" ht="1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spans="1:26" ht="1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spans="1:26" ht="1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spans="1:26" ht="1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spans="1:26" ht="1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spans="1:26" ht="1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spans="1:26" ht="1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spans="1:26" ht="1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spans="1:26" ht="1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spans="1:26" ht="1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spans="1:26" ht="1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spans="1:26" ht="1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spans="1:26" ht="1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spans="1:26" ht="1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1:26" ht="1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1:26" ht="1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1:26" ht="1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1:26" ht="1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spans="1:26" ht="1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spans="1:26" ht="1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spans="1:26" ht="1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1:26" ht="1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1:26" ht="1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1:26" ht="1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spans="1:26" ht="1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spans="1:26" ht="1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spans="1:26" ht="1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spans="1:26" ht="1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spans="1:26" ht="1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spans="1:26" ht="1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spans="1:26" ht="1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spans="1:26" ht="1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spans="1:26" ht="1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spans="1:26" ht="1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spans="1:26" ht="1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spans="1:26" ht="1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spans="1:26" ht="1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spans="1:26" ht="1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spans="1:26" ht="1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spans="1:26" ht="1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spans="1:26" ht="1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spans="1:26" ht="1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spans="1:26" ht="1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spans="1:26" ht="1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spans="1:26" ht="1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spans="1:26" ht="1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spans="1:26" ht="1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spans="1:26" ht="1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spans="1:26" ht="1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spans="1:26" ht="1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spans="1:26" ht="1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spans="1:26" ht="1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spans="1:26" ht="1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spans="1:26" ht="1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spans="1:26" ht="1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spans="1:26" ht="1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spans="1:26" ht="1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spans="1:26" ht="1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spans="1:26" ht="1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spans="1:26" ht="1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spans="1:26" ht="1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spans="1:26" ht="1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spans="1:26" ht="1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spans="1:26" ht="1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spans="1:26" ht="1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spans="1:26" ht="1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spans="1:26" ht="1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spans="1:26" ht="1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spans="1:26" ht="1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spans="1:26" ht="1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spans="1:26" ht="1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spans="1:26" ht="1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spans="1:26" ht="1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spans="1:26" ht="1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spans="1:26" ht="1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spans="1:26" ht="1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spans="1:26" ht="1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spans="1:26" ht="1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spans="1:26" ht="1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spans="1:26" ht="1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spans="1:26" ht="1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spans="1:26" ht="1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spans="1:26" ht="1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spans="1:26" ht="1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spans="1:26" ht="1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spans="1:26" ht="1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spans="1:26" ht="1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spans="1:26" ht="1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spans="1:26" ht="1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spans="1:26" ht="1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spans="1:26" ht="1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spans="1:26" ht="1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spans="1:26" ht="1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spans="1:26" ht="1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spans="1:26" ht="1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spans="1:26" ht="1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spans="1:26" ht="1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spans="1:26" ht="1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spans="1:26" ht="1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spans="1:26" ht="1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spans="1:26" ht="1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spans="1:26" ht="1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spans="1:26" ht="1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spans="1:26" ht="1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spans="1:26" ht="1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spans="1:26" ht="1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spans="1:26" ht="1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spans="1:26" ht="1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spans="1:26" ht="1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spans="1:26" ht="1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spans="1:26" ht="1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spans="1:26" ht="1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spans="1:26" ht="1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spans="1:26" ht="1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spans="1:26" ht="1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spans="1:26" ht="1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spans="1:26" ht="1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spans="1:26" ht="1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spans="1:26" ht="1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spans="1:26" ht="1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spans="1:26" ht="1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spans="1:26" ht="1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spans="1:26" ht="1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spans="1:26" ht="1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spans="1:26" ht="1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spans="1:26" ht="1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spans="1:26" ht="1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spans="1:26" ht="1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spans="1:26" ht="1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spans="1:26" ht="1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spans="1:26" ht="1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spans="1:26" ht="1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spans="1:26" ht="1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spans="1:26" ht="1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spans="1:26" ht="1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spans="1:26" ht="1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spans="1:26" ht="1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spans="1:26" ht="1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spans="1:26" ht="1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spans="1:26" ht="1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spans="1:26" ht="1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spans="1:26" ht="1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spans="1:26" ht="1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spans="1:26" ht="1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spans="1:26" ht="1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spans="1:26" ht="1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spans="1:26" ht="1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spans="1:26" ht="1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spans="1:26" ht="1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spans="1:26" ht="1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spans="1:26" ht="1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spans="1:26" ht="1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spans="1:26" ht="1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spans="1:26" ht="1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spans="1:26" ht="1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spans="1:26" ht="1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spans="1:26" ht="1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spans="1:26" ht="1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spans="1:26" ht="1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spans="1:26" ht="1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spans="1:26" ht="1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spans="1:26" ht="1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spans="1:26" ht="1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spans="1:26" ht="1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spans="1:26" ht="1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spans="1:26" ht="1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spans="1:26" ht="1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spans="1:26" ht="1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spans="1:26" ht="1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spans="1:26" ht="1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spans="1:26" ht="1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spans="1:26" ht="1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spans="1:26" ht="1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spans="1:26" ht="1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spans="1:26" ht="1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spans="1:26" ht="1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spans="1:26" ht="1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spans="1:26" ht="1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spans="1:26" ht="1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spans="1:26" ht="1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spans="1:26" ht="1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spans="1:26" ht="1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spans="1:26" ht="1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spans="1:26" ht="1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spans="1:26" ht="1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spans="1:26" ht="1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spans="1:26" ht="1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spans="1:26" ht="1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spans="1:26" ht="1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spans="1:26" ht="1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spans="1:26" ht="1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spans="1:26" ht="1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spans="1:26" ht="1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spans="1:26" ht="1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spans="1:26" ht="1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spans="1:26" ht="1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spans="1:26" ht="1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spans="1:26" ht="1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spans="1:26" ht="1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spans="1:26" ht="1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spans="1:26" ht="1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spans="1:26" ht="1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spans="1:26" ht="1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spans="1:26" ht="1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spans="1:26" ht="1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spans="1:26" ht="1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spans="1:26" ht="1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spans="1:26" ht="1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spans="1:26" ht="1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spans="1:26" ht="1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spans="1:26" ht="1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spans="1:26" ht="1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spans="1:26" ht="1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spans="1:26" ht="1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spans="1:26" ht="1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spans="1:26" ht="1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spans="1:26" ht="1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spans="1:26" ht="1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spans="1:26" ht="1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spans="1:26" ht="1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spans="1:26" ht="1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spans="1:26" ht="1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spans="1:26" ht="1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spans="1:26" ht="1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spans="1:26" ht="1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spans="1:26" ht="1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spans="1:26" ht="1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spans="1:26" ht="1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spans="1:26" ht="1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spans="1:26" ht="1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spans="1:26" ht="1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spans="1:26" ht="1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spans="1:26" ht="1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spans="1:26" ht="1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spans="1:26" ht="1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spans="1:26" ht="1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spans="1:26" ht="1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spans="1:26" ht="1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spans="1:26" ht="1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spans="1:26" ht="1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spans="1:26" ht="1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spans="1:26" ht="1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spans="1:26" ht="1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spans="1:26" ht="1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spans="1:26" ht="1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spans="1:26" ht="1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spans="1:26" ht="1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spans="1:26" ht="1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spans="1:26" ht="1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spans="1:26" ht="1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spans="1:26" ht="1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spans="1:26" ht="1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spans="1:26" ht="1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spans="1:26" ht="1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spans="1:26" ht="1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spans="1:26" ht="1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spans="1:26" ht="1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spans="1:26" ht="1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spans="1:26" ht="1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spans="1:26" ht="1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spans="1:26" ht="1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spans="1:26" ht="1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spans="1:26" ht="1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spans="1:26" ht="1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spans="1:26" ht="1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spans="1:26" ht="1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spans="1:26" ht="1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spans="1:26" ht="1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spans="1:26" ht="1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spans="1:26" ht="1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spans="1:26" ht="1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spans="1:26" ht="1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spans="1:26" ht="1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spans="1:26" ht="1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spans="1:26" ht="1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spans="1:26" ht="1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spans="1:26" ht="1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spans="1:26" ht="1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spans="1:26" ht="1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spans="1:26" ht="1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spans="1:26" ht="1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spans="1:26" ht="1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spans="1:26" ht="1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spans="1:26" ht="1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spans="1:26" ht="1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spans="1:26" ht="1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spans="1:26" ht="1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spans="1:26" ht="1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spans="1:26" ht="1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spans="1:26" ht="1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spans="1:26" ht="1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spans="1:26" ht="1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spans="1:26" ht="1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spans="1:26" ht="1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spans="1:26" ht="1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spans="1:26" ht="1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spans="1:26" ht="1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spans="1:26" ht="1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spans="1:26" ht="1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spans="1:26" ht="1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spans="1:26" ht="1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spans="1:26" ht="1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spans="1:26" ht="1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spans="1:26" ht="1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spans="1:26" ht="1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spans="1:26" ht="1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spans="1:26" ht="1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spans="1:26" ht="1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spans="1:26" ht="1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spans="1:26" ht="1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spans="1:26" ht="1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spans="1:26" ht="1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spans="1:26" ht="1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spans="1:26" ht="1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spans="1:26" ht="1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spans="1:26" ht="1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spans="1:26" ht="1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spans="1:26" ht="1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spans="1:26" ht="1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spans="1:26" ht="1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spans="1:26" ht="1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spans="1:26" ht="1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spans="1:26" ht="1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spans="1:26" ht="1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spans="1:26" ht="1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spans="1:26" ht="1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spans="1:26" ht="1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spans="1:26" ht="1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spans="1:26" ht="1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spans="1:26" ht="1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spans="1:26" ht="1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spans="1:26" ht="1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spans="1:26" ht="1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spans="1:26" ht="1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spans="1:26" ht="1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spans="1:26" ht="1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spans="1:26" ht="1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spans="1:26" ht="1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spans="1:26" ht="1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spans="1:26" ht="1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spans="1:26" ht="1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spans="1:26" ht="1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spans="1:26" ht="1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spans="1:26" ht="1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spans="1:26" ht="1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spans="1:26" ht="1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spans="1:26" ht="1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spans="1:26" ht="1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spans="1:26" ht="1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spans="1:26" ht="1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spans="1:26" ht="1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spans="1:26" ht="1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spans="1:26" ht="1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spans="1:26" ht="1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spans="1:26" ht="1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spans="1:26" ht="1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spans="1:26" ht="1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spans="1:26" ht="1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spans="1:26" ht="1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spans="1:26" ht="1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spans="1:26" ht="1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spans="1:26" ht="1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spans="1:26" ht="1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spans="1:26" ht="1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spans="1:26" ht="1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spans="1:26" ht="1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spans="1:26" ht="1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spans="1:26" ht="1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spans="1:26" ht="1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spans="1:26" ht="1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spans="1:26" ht="1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spans="1:26" ht="1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spans="1:26" ht="1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spans="1:26" ht="1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spans="1:26" ht="1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spans="1:26" ht="1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spans="1:26" ht="1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spans="1:26" ht="1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spans="1:26" ht="1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spans="1:26" ht="1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spans="1:26" ht="1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spans="1:26" ht="1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spans="1:26" ht="1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spans="1:26" ht="1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spans="1:26" ht="1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spans="1:26" ht="1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spans="1:26" ht="1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spans="1:26" ht="1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spans="1:26" ht="1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spans="1:26" ht="1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spans="1:26" ht="1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spans="1:26" ht="1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spans="1:26" ht="1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spans="1:26" ht="1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spans="1:26" ht="1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spans="1:26" ht="1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spans="1:26" ht="1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spans="1:26" ht="1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spans="1:26" ht="1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spans="1:26" ht="1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spans="1:26" ht="1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spans="1:26" ht="1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spans="1:26" ht="1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spans="1:26" ht="1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spans="1:26" ht="1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spans="1:26" ht="1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spans="1:26" ht="1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spans="1:26" ht="1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spans="1:26" ht="1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spans="1:26" ht="1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spans="1:26" ht="1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spans="1:26" ht="1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spans="1:26" ht="1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spans="1:26" ht="1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spans="1:26" ht="1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spans="1:26" ht="1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spans="1:26" ht="1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spans="1:26" ht="1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spans="1:26" ht="1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spans="1:26" ht="1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spans="1:26" ht="1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spans="1:26" ht="1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spans="1:26" ht="1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spans="1:26" ht="1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spans="1:26" ht="1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spans="1:26" ht="1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spans="1:26" ht="1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spans="1:26" ht="1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spans="1:26" ht="1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spans="1:26" ht="1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spans="1:26" ht="1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spans="1:26" ht="1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spans="1:26" ht="1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spans="1:26" ht="1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spans="1:26" ht="1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spans="1:26" ht="1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spans="1:26" ht="1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spans="1:26" ht="1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spans="1:26" ht="1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spans="1:26" ht="1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spans="1:26" ht="1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spans="1:26" ht="1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spans="1:26" ht="1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spans="1:26" ht="1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spans="1:26" ht="1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spans="1:26" ht="1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spans="1:26" ht="1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spans="1:26" ht="1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spans="1:26" ht="1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spans="1:26" ht="1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spans="1:26" ht="1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spans="1:26" ht="1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spans="1:26" ht="1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spans="1:26" ht="1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spans="1:26" ht="1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spans="1:26" ht="1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spans="1:26" ht="1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spans="1:26" ht="1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spans="1:26" ht="1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spans="1:26" ht="1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spans="1:26" ht="1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spans="1:26" ht="1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spans="1:26" ht="1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spans="1:26" ht="1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spans="1:26" ht="1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spans="1:26" ht="1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spans="1:26" ht="1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spans="1:26" ht="1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spans="1:26" ht="1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spans="1:26" ht="1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spans="1:26" ht="1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spans="1:26" ht="1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spans="1:26" ht="1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spans="1:26" ht="1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spans="1:26" ht="1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spans="1:26" ht="1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spans="1:26" ht="1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spans="1:26" ht="1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spans="1:26" ht="1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spans="1:26" ht="1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spans="1:26" ht="1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spans="1:26" ht="1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spans="1:26" ht="1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spans="1:26" ht="1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spans="1:26" ht="1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spans="1:26" ht="1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spans="1:26" ht="1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spans="1:26" ht="1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spans="1:26" ht="1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spans="1:26" ht="1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spans="1:26" ht="1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spans="1:26" ht="1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spans="1:26" ht="1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spans="1:26" ht="1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spans="1:26" ht="1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spans="1:26" ht="1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spans="1:26" ht="1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spans="1:26" ht="1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spans="1:26" ht="1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spans="1:26" ht="1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spans="1:26" ht="1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spans="1:26" ht="1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spans="1:26" ht="1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spans="1:26" ht="1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spans="1:26" ht="1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spans="1:26" ht="1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spans="1:26" ht="1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spans="1:26" ht="1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spans="1:26" ht="1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spans="1:26" ht="1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spans="1:26" ht="1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spans="1:26" ht="1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spans="1:26" ht="1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spans="1:26" ht="1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spans="1:26" ht="1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spans="1:26" ht="1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spans="1:26" ht="1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spans="1:26" ht="1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spans="1:26" ht="1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spans="1:26" ht="1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spans="1:26" ht="1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spans="1:26" ht="1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spans="1:26" ht="1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spans="1:26" ht="1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spans="1:26" ht="1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spans="1:26" ht="1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spans="1:26" ht="1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spans="1:26" ht="1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spans="1:26" ht="1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spans="1:26" ht="1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spans="1:26" ht="1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spans="1:26" ht="1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spans="1:26" ht="1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spans="1:26" ht="1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spans="1:26" ht="1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spans="1:26" ht="1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spans="1:26" ht="1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spans="1:26" ht="1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spans="1:26" ht="1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spans="1:26" ht="1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spans="1:26" ht="1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spans="1:26" ht="1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spans="1:26" ht="1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spans="1:26" ht="1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spans="1:26" ht="1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spans="1:26" ht="1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spans="1:26" ht="1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spans="1:26" ht="1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spans="1:26" ht="1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spans="1:26" ht="1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spans="1:26" ht="1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spans="1:26" ht="1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spans="1:26" ht="1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spans="1:26" ht="1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spans="1:26" ht="1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spans="1:26" ht="1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spans="1:26" ht="1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spans="1:26" ht="1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spans="1:26" ht="1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spans="1:26" ht="1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spans="1:26" ht="1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spans="1:26" ht="1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spans="1:26" ht="1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spans="1:26" ht="1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spans="1:26" ht="1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spans="1:26" ht="1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spans="1:26" ht="1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spans="1:26" ht="1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spans="1:26" ht="1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spans="1:26" ht="1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spans="1:26" ht="1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spans="1:26" ht="1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spans="1:26" ht="1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spans="1:26" ht="1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spans="1:26" ht="1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spans="1:26" ht="1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spans="1:26" ht="1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spans="1:26" ht="1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spans="1:26" ht="1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spans="1:26" ht="1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spans="1:26" ht="1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spans="1:26" ht="1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spans="1:26" ht="1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spans="1:26" ht="1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spans="1:26" ht="1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spans="1:26" ht="1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spans="1:26" ht="1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spans="1:26" ht="1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spans="1:26" ht="1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spans="1:26" ht="1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spans="1:26" ht="1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spans="1:26" ht="1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spans="1:26" ht="1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spans="1:26" ht="1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spans="1:26" ht="1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spans="1:26" ht="1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spans="1:26" ht="1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spans="1:26" ht="1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spans="1:26" ht="1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spans="1:26" ht="1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spans="1:26" ht="1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spans="1:26" ht="1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spans="1:26" ht="1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spans="1:26" ht="1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spans="1:26" ht="1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spans="1:26" ht="1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spans="1:26" ht="1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spans="1:26" ht="1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spans="1:26" ht="1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spans="1:26" ht="1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spans="1:26" ht="1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spans="1:26" ht="1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spans="1:26" ht="1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spans="1:26" ht="1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spans="1:26" ht="1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autoFilter ref="A2:O114" xr:uid="{00000000-0009-0000-0000-000000000000}">
    <filterColumn colId="3">
      <customFilters>
        <customFilter operator="notEqual" val=" "/>
      </customFilters>
    </filterColumn>
  </autoFilter>
  <sortState xmlns:xlrd2="http://schemas.microsoft.com/office/spreadsheetml/2017/richdata2" ref="A3:P196">
    <sortCondition descending="1" ref="C1:C196"/>
  </sortState>
  <phoneticPr fontId="3" type="noConversion"/>
  <hyperlinks>
    <hyperlink ref="C3" r:id="rId1" display="F:\1万多套非标设备3D图纸\10705套非标设备大合集\（二）：有图片jpg目录（方便预览）\1--02：包装机图纸\115套SW格式图纸\SW可编辑参数（46套）\A02-Z-HR1-10ACD自动包装机\3D\自动包装机.SLDASM" xr:uid="{59A9A330-B83C-4978-9609-A7AC6D844745}"/>
    <hyperlink ref="C4" r:id="rId2" display="F:\1万多套非标设备3D图纸\10705套非标设备大合集\（二）：有图片jpg目录（方便预览）\1--02：包装机图纸\115套SW格式图纸\SW可编辑参数（46套）\A02-Z-HR1-10ACD自动包装机\3D\自动包装机.SLDASM" xr:uid="{34AD7EF0-06D3-488E-AF9F-80C674ADDF16}"/>
    <hyperlink ref="C5" r:id="rId3" display="F:\1万多套非标设备3D图纸\10705套非标设备大合集\（二）：有图片jpg目录（方便预览）\1--02：包装机图纸\115套SW格式图纸\SW可编辑参数（46套）\A02-Z-HR1-10ACD自动包装机\3D\步进卷料\步进电机BSHB31112.SLDPRT" xr:uid="{A0055F4A-4C5E-499E-B2EE-9F52F7F5AE58}"/>
    <hyperlink ref="C6" r:id="rId4" display="F:\1万多套非标设备3D图纸\10705套非标设备大合集\（二）：有图片jpg目录（方便预览）\1--02：包装机图纸\115套SW格式图纸\SW可编辑参数（46套）\A02-Z-HR1-10ACD自动包装机\3D\步进卷料\步进卷料002.SLDPRT" xr:uid="{F6931700-7217-4054-A435-0691A8147C41}"/>
    <hyperlink ref="C7" r:id="rId5" display="F:\1万多套非标设备3D图纸\10705套非标设备大合集\（二）：有图片jpg目录（方便预览）\1--02：包装机图纸\115套SW格式图纸\SW可编辑参数（46套）\A02-Z-HR1-10ACD自动包装机\3D\步进卷料\步进卷料007.SLDPRT" xr:uid="{3B0A0543-32EF-4720-9F1B-6F993A8A9EAB}"/>
    <hyperlink ref="C8" r:id="rId6" display="F:\1万多套非标设备3D图纸\10705套非标设备大合集\（二）：有图片jpg目录（方便预览）\1--02：包装机图纸\115套SW格式图纸\SW可编辑参数（46套）\A02-Z-HR1-10ACD自动包装机\3D\步进卷料\同步轮MSM-MBR40-2.5-P10.SLDPRT" xr:uid="{FFF8DF13-3553-423F-BD9D-F1D6662707AF}"/>
    <hyperlink ref="C9" r:id="rId7" display="F:\1万多套非标设备3D图纸\10705套非标设备大合集\（二）：有图片jpg目录（方便预览）\1--02：包装机图纸\115套SW格式图纸\SW可编辑参数（46套）\A02-Z-HR1-10ACD自动包装机\3D\步进卷料\步进电机BSHB31112.SLDPRT" xr:uid="{697C8D22-AC39-45F0-B59E-4B3A8D68DD2E}"/>
    <hyperlink ref="C10" r:id="rId8" display="F:\1万多套非标设备3D图纸\10705套非标设备大合集\（二）：有图片jpg目录（方便预览）\1--02：包装机图纸\115套SW格式图纸\SW可编辑参数（46套）\A02-Z-HR1-10ACD自动包装机\3D\步进卷料\步进电机Leisai-86HS35.SLDPRT" xr:uid="{71DE8B40-0067-4257-8A79-1B99D0D5F931}"/>
    <hyperlink ref="C11" r:id="rId9" display="F:\1万多套非标设备3D图纸\10705套非标设备大合集\（二）：有图片jpg目录（方便预览）\1--02：包装机图纸\115套SW格式图纸\SW可编辑参数（46套）\A02-Z-HR1-10ACD自动包装机\3D\步进卷料\步进卷料001.SLDPRT" xr:uid="{AC2F7696-5054-4B41-8F19-9ACBEFCEF36A}"/>
    <hyperlink ref="C12" r:id="rId10" display="F:\1万多套非标设备3D图纸\10705套非标设备大合集\（二）：有图片jpg目录（方便预览）\1--02：包装机图纸\115套SW格式图纸\SW可编辑参数（46套）\A02-Z-HR1-10ACD自动包装机\3D\步进卷料\步进卷料002.SLDPRT" xr:uid="{196A9C61-3402-43BD-B4CC-80F6D6078CFC}"/>
    <hyperlink ref="C13" r:id="rId11" display="F:\1万多套非标设备3D图纸\10705套非标设备大合集\（二）：有图片jpg目录（方便预览）\1--02：包装机图纸\115套SW格式图纸\SW可编辑参数（46套）\A02-Z-HR1-10ACD自动包装机\3D\步进卷料\步进卷料003.SLDPRT" xr:uid="{9B282772-F213-4041-AF4A-C0DBEB69664D}"/>
    <hyperlink ref="C14" r:id="rId12" display="F:\1万多套非标设备3D图纸\10705套非标设备大合集\（二）：有图片jpg目录（方便预览）\1--02：包装机图纸\115套SW格式图纸\SW可编辑参数（46套）\A02-Z-HR1-10ACD自动包装机\3D\步进卷料\步进卷料004.SLDPRT" xr:uid="{79B97B69-1C6C-449C-8417-57D38EE2E67D}"/>
    <hyperlink ref="C15" r:id="rId13" display="F:\1万多套非标设备3D图纸\10705套非标设备大合集\（二）：有图片jpg目录（方便预览）\1--02：包装机图纸\115套SW格式图纸\SW可编辑参数（46套）\A02-Z-HR1-10ACD自动包装机\3D\步进卷料\步进卷料005.SLDPRT" xr:uid="{3D08462B-C1A7-41B2-9297-C68181D37D46}"/>
    <hyperlink ref="C16" r:id="rId14" display="F:\1万多套非标设备3D图纸\10705套非标设备大合集\（二）：有图片jpg目录（方便预览）\1--02：包装机图纸\115套SW格式图纸\SW可编辑参数（46套）\A02-Z-HR1-10ACD自动包装机\3D\步进卷料\步进卷料007.SLDPRT" xr:uid="{DF2D84C4-2008-4FA4-9434-245B8060FD18}"/>
    <hyperlink ref="C17" r:id="rId15" display="F:\1万多套非标设备3D图纸\10705套非标设备大合集\（二）：有图片jpg目录（方便预览）\1--02：包装机图纸\115套SW格式图纸\SW可编辑参数（46套）\A02-Z-HR1-10ACD自动包装机\3D\步进卷料\步进卷料008.SLDPRT" xr:uid="{20F7645F-A7B5-47B2-BB44-E303A7D1ED0E}"/>
    <hyperlink ref="C18" r:id="rId16" display="F:\1万多套非标设备3D图纸\10705套非标设备大合集\（二）：有图片jpg目录（方便预览）\1--02：包装机图纸\115套SW格式图纸\SW可编辑参数（46套）\A02-Z-HR1-10ACD自动包装机\3D\步进卷料\步进卷料009.SLDPRT" xr:uid="{2A6CA9A9-6DF0-44FD-8866-2A4317E5C542}"/>
    <hyperlink ref="C19" r:id="rId17" display="F:\1万多套非标设备3D图纸\10705套非标设备大合集\（二）：有图片jpg目录（方便预览）\1--02：包装机图纸\115套SW格式图纸\SW可编辑参数（46套）\A02-Z-HR1-10ACD自动包装机\3D\步进卷料\步进卷料010.SLDPRT" xr:uid="{8BCE05B9-F406-46AC-BE98-D5F9CF219E2E}"/>
    <hyperlink ref="C20" r:id="rId18" display="F:\1万多套非标设备3D图纸\10705套非标设备大合集\（二）：有图片jpg目录（方便预览）\1--02：包装机图纸\115套SW格式图纸\SW可编辑参数（46套）\A02-Z-HR1-10ACD自动包装机\3D\步进卷料\步进卷料011.SLDPRT" xr:uid="{33056719-A7AB-475D-A285-FC7661595B42}"/>
  </hyperlinks>
  <pageMargins left="0.7" right="0.7" top="0.75" bottom="0.75" header="0.3" footer="0.3"/>
  <pageSetup paperSize="9" orientation="portrait" r:id="rId1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7"/>
      <c r="C1" s="8"/>
      <c r="D1" s="9"/>
      <c r="E1" s="9"/>
      <c r="F1" s="9"/>
      <c r="G1" s="10"/>
      <c r="H1" s="10"/>
      <c r="I1" s="10"/>
      <c r="J1" s="10"/>
    </row>
    <row r="2" spans="2:10" ht="15" customHeight="1" thickBot="1">
      <c r="B2" s="10"/>
      <c r="C2" s="8"/>
      <c r="D2" s="9"/>
      <c r="E2" s="54" t="s">
        <v>3</v>
      </c>
      <c r="F2" s="54"/>
      <c r="G2" s="54"/>
      <c r="H2" s="11" t="s">
        <v>4</v>
      </c>
      <c r="I2" s="55">
        <f ca="1">TODAY()</f>
        <v>45000</v>
      </c>
      <c r="J2" s="56"/>
    </row>
    <row r="3" spans="2:10" ht="14.25" customHeight="1">
      <c r="B3" s="57" t="s">
        <v>5</v>
      </c>
      <c r="C3" s="59" t="s">
        <v>6</v>
      </c>
      <c r="D3" s="61" t="s">
        <v>7</v>
      </c>
      <c r="E3" s="61"/>
      <c r="F3" s="61"/>
      <c r="G3" s="61"/>
      <c r="H3" s="61"/>
      <c r="I3" s="61"/>
      <c r="J3" s="62"/>
    </row>
    <row r="4" spans="2:10" ht="15" customHeight="1">
      <c r="B4" s="58"/>
      <c r="C4" s="60"/>
      <c r="D4" s="12" t="s">
        <v>8</v>
      </c>
      <c r="E4" s="12" t="s">
        <v>9</v>
      </c>
      <c r="F4" s="12" t="s">
        <v>10</v>
      </c>
      <c r="G4" s="12" t="s">
        <v>11</v>
      </c>
      <c r="H4" s="13"/>
      <c r="I4" s="12"/>
      <c r="J4" s="14"/>
    </row>
    <row r="5" spans="2:10" ht="15" customHeight="1">
      <c r="B5" s="15" t="s">
        <v>12</v>
      </c>
      <c r="C5" s="36">
        <v>9999</v>
      </c>
      <c r="D5" s="16">
        <v>1</v>
      </c>
      <c r="E5" s="16">
        <v>1</v>
      </c>
      <c r="F5" s="16">
        <v>1</v>
      </c>
      <c r="G5" s="16">
        <v>1</v>
      </c>
      <c r="H5" s="16"/>
      <c r="I5" s="17"/>
      <c r="J5" s="18"/>
    </row>
    <row r="6" spans="2:10" ht="15" customHeight="1">
      <c r="B6" s="19" t="s">
        <v>24</v>
      </c>
      <c r="C6" s="37" t="s">
        <v>25</v>
      </c>
      <c r="D6" s="20"/>
      <c r="E6" s="20">
        <v>1</v>
      </c>
      <c r="F6" s="20">
        <v>1</v>
      </c>
      <c r="G6" s="20"/>
      <c r="H6" s="20"/>
      <c r="I6" s="21"/>
      <c r="J6" s="22"/>
    </row>
    <row r="7" spans="2:10" ht="14.25">
      <c r="B7" s="19"/>
      <c r="C7" s="37"/>
      <c r="D7" s="20"/>
      <c r="E7" s="20"/>
      <c r="F7" s="20"/>
      <c r="G7" s="20"/>
      <c r="H7" s="20"/>
      <c r="I7" s="21"/>
      <c r="J7" s="22"/>
    </row>
    <row r="8" spans="2:10" ht="14.25">
      <c r="B8" s="19"/>
      <c r="C8" s="37"/>
      <c r="D8" s="20"/>
      <c r="E8" s="20"/>
      <c r="F8" s="20"/>
      <c r="G8" s="20"/>
      <c r="H8" s="20"/>
      <c r="I8" s="21"/>
      <c r="J8" s="22"/>
    </row>
    <row r="9" spans="2:10" ht="14.25">
      <c r="B9" s="19"/>
      <c r="C9" s="37"/>
      <c r="D9" s="20"/>
      <c r="E9" s="20"/>
      <c r="F9" s="20"/>
      <c r="G9" s="20"/>
      <c r="H9" s="20"/>
      <c r="I9" s="21"/>
      <c r="J9" s="22"/>
    </row>
    <row r="10" spans="2:10" ht="14.25">
      <c r="B10" s="19"/>
      <c r="C10" s="37"/>
      <c r="D10" s="20"/>
      <c r="E10" s="20"/>
      <c r="F10" s="20"/>
      <c r="G10" s="20"/>
      <c r="H10" s="20"/>
      <c r="I10" s="21"/>
      <c r="J10" s="22"/>
    </row>
    <row r="11" spans="2:10" ht="14.25">
      <c r="B11" s="19"/>
      <c r="C11" s="37"/>
      <c r="D11" s="20"/>
      <c r="E11" s="23"/>
      <c r="F11" s="23"/>
      <c r="G11" s="23"/>
      <c r="H11" s="20"/>
      <c r="I11" s="21"/>
      <c r="J11" s="22"/>
    </row>
    <row r="12" spans="2:10" ht="14.25">
      <c r="B12" s="19"/>
      <c r="C12" s="37"/>
      <c r="D12" s="20"/>
      <c r="E12" s="20"/>
      <c r="F12" s="20"/>
      <c r="G12" s="20"/>
      <c r="H12" s="20"/>
      <c r="I12" s="21"/>
      <c r="J12" s="22"/>
    </row>
    <row r="13" spans="2:10" ht="14.25">
      <c r="B13" s="19"/>
      <c r="C13" s="37"/>
      <c r="D13" s="20"/>
      <c r="E13" s="20"/>
      <c r="F13" s="20"/>
      <c r="G13" s="20"/>
      <c r="H13" s="20"/>
      <c r="I13" s="21"/>
      <c r="J13" s="22"/>
    </row>
    <row r="14" spans="2:10" ht="14.25">
      <c r="B14" s="19"/>
      <c r="C14" s="37"/>
      <c r="D14" s="20"/>
      <c r="E14" s="20"/>
      <c r="F14" s="20"/>
      <c r="G14" s="20"/>
      <c r="H14" s="20"/>
      <c r="I14" s="21"/>
      <c r="J14" s="22"/>
    </row>
    <row r="15" spans="2:10" ht="15" thickBot="1">
      <c r="B15" s="24"/>
      <c r="C15" s="38"/>
      <c r="D15" s="25"/>
      <c r="E15" s="25"/>
      <c r="F15" s="25"/>
      <c r="G15" s="25"/>
      <c r="H15" s="25"/>
      <c r="I15" s="26"/>
      <c r="J15" s="27"/>
    </row>
    <row r="16" spans="2:10" ht="14.25">
      <c r="B16" s="28" t="s">
        <v>13</v>
      </c>
      <c r="C16" s="29" t="s">
        <v>14</v>
      </c>
      <c r="D16" s="30"/>
      <c r="E16" s="30"/>
      <c r="F16" s="30"/>
      <c r="G16" s="30"/>
      <c r="H16" s="31"/>
      <c r="I16" s="31"/>
      <c r="J16" s="31"/>
    </row>
    <row r="17" spans="2:10" ht="14.25">
      <c r="B17" s="9"/>
      <c r="C17" s="32" t="s">
        <v>15</v>
      </c>
      <c r="D17" s="32"/>
      <c r="E17" s="32"/>
      <c r="F17" s="32"/>
      <c r="G17" s="32"/>
      <c r="H17" s="32"/>
      <c r="I17" s="9"/>
      <c r="J17" s="9"/>
    </row>
    <row r="18" spans="2:10" ht="14.25">
      <c r="B18" s="32"/>
      <c r="C18" s="32" t="s">
        <v>16</v>
      </c>
      <c r="D18" s="9"/>
      <c r="E18" s="9"/>
      <c r="F18" s="9"/>
      <c r="G18" s="9"/>
      <c r="H18" s="9"/>
      <c r="I18" s="9"/>
      <c r="J18" s="9"/>
    </row>
    <row r="19" spans="2:10" ht="15" thickBot="1">
      <c r="B19" s="32"/>
      <c r="C19" s="32"/>
      <c r="D19" s="32"/>
      <c r="E19" s="32"/>
      <c r="F19" s="32"/>
      <c r="G19" s="32"/>
      <c r="H19" s="32"/>
      <c r="I19" s="9"/>
      <c r="J19" s="9"/>
    </row>
    <row r="20" spans="2:10" ht="12" customHeight="1">
      <c r="B20" s="47" t="s">
        <v>5</v>
      </c>
      <c r="C20" s="49" t="s">
        <v>22</v>
      </c>
      <c r="D20" s="51" t="s">
        <v>17</v>
      </c>
      <c r="E20" s="52"/>
      <c r="F20" s="52"/>
      <c r="G20" s="53"/>
      <c r="H20" s="9"/>
      <c r="I20" s="9"/>
      <c r="J20" s="9"/>
    </row>
    <row r="21" spans="2:10" ht="14.25">
      <c r="B21" s="48"/>
      <c r="C21" s="50"/>
      <c r="D21" s="12" t="s">
        <v>18</v>
      </c>
      <c r="E21" s="12" t="s">
        <v>19</v>
      </c>
      <c r="F21" s="12" t="s">
        <v>20</v>
      </c>
      <c r="G21" s="12" t="s">
        <v>21</v>
      </c>
      <c r="H21" s="9"/>
      <c r="I21" s="9"/>
      <c r="J21" s="9"/>
    </row>
    <row r="22" spans="2:10" ht="15" thickBot="1">
      <c r="B22" s="15" t="s">
        <v>40</v>
      </c>
      <c r="C22" s="33" t="str">
        <f>VLOOKUP($B$22,$B$5:$N$15,2,FALSE)</f>
        <v>8802</v>
      </c>
      <c r="D22" s="33">
        <f>VLOOKUP($B$22,$B$5:$N$15,3,FALSE)</f>
        <v>0</v>
      </c>
      <c r="E22" s="33">
        <f>VLOOKUP($B$22,$B$5:$N$15,4,FALSE)</f>
        <v>1</v>
      </c>
      <c r="F22" s="33">
        <f>VLOOKUP($B$22,$B$5:$N$15,5,FALSE)</f>
        <v>1</v>
      </c>
      <c r="G22" s="33">
        <f>VLOOKUP($B$22,$B$5:$N$15,6,FALSE)</f>
        <v>0</v>
      </c>
      <c r="H22" s="33">
        <f>VLOOKUP($B$22,$B$5:$N$15,7,FALSE)</f>
        <v>0</v>
      </c>
      <c r="I22" s="33">
        <f>VLOOKUP($B$22,$B$5:$N$15,8,FALSE)</f>
        <v>0</v>
      </c>
      <c r="J22" s="33">
        <f>VLOOKUP($B$22,$B$5:$N$15,9,FALSE)</f>
        <v>0</v>
      </c>
    </row>
    <row r="23" spans="2:10" ht="14.25">
      <c r="B23" s="34"/>
      <c r="C23" s="32"/>
      <c r="D23" s="32"/>
      <c r="E23" s="32"/>
      <c r="F23" s="32"/>
      <c r="G23" s="32"/>
      <c r="H23" s="32"/>
      <c r="I23" s="9"/>
      <c r="J23" s="9"/>
    </row>
    <row r="24" spans="2:10" ht="14.25">
      <c r="B24" s="32"/>
      <c r="C24" s="32"/>
      <c r="D24" s="32"/>
      <c r="E24" s="32"/>
      <c r="F24" s="32"/>
      <c r="G24" s="32"/>
      <c r="H24" s="32"/>
      <c r="I24" s="9"/>
      <c r="J24" s="9"/>
    </row>
    <row r="25" spans="2:10" ht="14.25">
      <c r="B25" s="32"/>
      <c r="C25" s="32"/>
      <c r="D25" s="32"/>
      <c r="E25" s="32"/>
      <c r="F25" s="32"/>
      <c r="G25" s="32"/>
      <c r="H25" s="32"/>
      <c r="I25" s="9"/>
      <c r="J25" s="9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8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323850</xdr:colOff>
                    <xdr:row>1</xdr:row>
                    <xdr:rowOff>95250</xdr:rowOff>
                  </from>
                  <to>
                    <xdr:col>14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Erik Guo</cp:lastModifiedBy>
  <dcterms:created xsi:type="dcterms:W3CDTF">2014-10-23T07:08:31Z</dcterms:created>
  <dcterms:modified xsi:type="dcterms:W3CDTF">2023-03-15T07:26:53Z</dcterms:modified>
</cp:coreProperties>
</file>